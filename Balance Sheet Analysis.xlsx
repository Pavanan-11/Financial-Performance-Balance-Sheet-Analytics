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xl/volatileDependencies.xml" ContentType="application/vnd.openxmlformats-officedocument.spreadsheetml.volatileDependenc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C:\Users\HP\Downloads\"/>
    </mc:Choice>
  </mc:AlternateContent>
  <xr:revisionPtr revIDLastSave="0" documentId="8_{082AE830-1211-47E9-9E3B-B1E95AA8042E}" xr6:coauthVersionLast="47" xr6:coauthVersionMax="47" xr10:uidLastSave="{00000000-0000-0000-0000-000000000000}"/>
  <bookViews>
    <workbookView xWindow="-108" yWindow="-108" windowWidth="23256" windowHeight="12456" activeTab="3" xr2:uid="{3187FADB-2D33-43C8-AA55-181B3EAE49CC}"/>
  </bookViews>
  <sheets>
    <sheet name="Trial Balance" sheetId="1" r:id="rId1"/>
    <sheet name="COA" sheetId="2" r:id="rId2"/>
    <sheet name="Calculations" sheetId="4" r:id="rId3"/>
    <sheet name="Dashboard" sheetId="6" r:id="rId4"/>
  </sheets>
  <definedNames>
    <definedName name="_xlchart.v5.0" hidden="1">Calculations!$C$30:$N$30</definedName>
    <definedName name="_xlchart.v5.1" hidden="1">Calculations!$C$34:$N$34</definedName>
    <definedName name="_xlcn.WorksheetConnection_CreatingaBalanceSheetDashboardupdated_Start.xlsxCoA" hidden="1">CoA[]</definedName>
    <definedName name="Slicer_Month_Name">#N/A</definedName>
  </definedNames>
  <calcPr calcId="191029"/>
  <pivotCaches>
    <pivotCache cacheId="672" r:id="rId5"/>
    <pivotCache cacheId="673" r:id="rId6"/>
    <pivotCache cacheId="674" r:id="rId7"/>
  </pivotCaches>
  <extLst>
    <ext xmlns:x14="http://schemas.microsoft.com/office/spreadsheetml/2009/9/main" uri="{876F7934-8845-4945-9796-88D515C7AA90}">
      <x14:pivotCaches>
        <pivotCache cacheId="675" r:id="rId8"/>
      </x14:pivotCaches>
    </ex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oA_36e05acb-819b-4f79-a8ac-df4520229b1e" name="CoA" connection="Query - CoA"/>
          <x15:modelTable id="TB_c57d79e4-cb6e-4745-a465-4c9512cb07ad" name="TB" connection="Query - TB"/>
          <x15:modelTable id="Calendar_268b734d-f34f-4aa8-9d01-9df8b22b1c84" name="Calendar" connection="Query - Calendar(1)"/>
          <x15:modelTable id="CoA 1" name="CoA 1" connection="WorksheetConnection_Creating a Balance Sheet Dashboard updated_Start.xlsx!CoA"/>
        </x15:modelTables>
        <x15:modelRelationships>
          <x15:modelRelationship fromTable="TB" fromColumn="Account Code" toTable="CoA" toColumn="Account Code"/>
          <x15:modelRelationship fromTable="TB" fromColumn="Date" toTable="Calendar" toColumn="Date"/>
          <x15:modelRelationship fromTable="TB" fromColumn="Account" toTable="CoA 1" toColumn="Account"/>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8" i="6" l="1" a="1"/>
  <c r="H8" i="6" s="1"/>
  <c r="G5" i="4"/>
  <c r="H5" i="4"/>
  <c r="B32" i="4"/>
  <c r="B28" i="4"/>
  <c r="F17" i="4"/>
  <c r="F12" i="4"/>
  <c r="F7" i="4"/>
  <c r="G7" i="4" s="1"/>
  <c r="H7" i="4"/>
  <c r="B31" i="4"/>
  <c r="F13" i="4"/>
  <c r="F11" i="4"/>
  <c r="F6" i="4"/>
  <c r="G6" i="4" s="1"/>
  <c r="G8" i="4" l="1"/>
  <c r="B29" i="4"/>
  <c r="H6" i="4"/>
  <c r="H11" i="4"/>
  <c r="H12" i="4"/>
  <c r="G12" i="4"/>
  <c r="G11" i="4"/>
  <c r="G17" i="4"/>
  <c r="H8" i="4" l="1"/>
  <c r="H13" i="4"/>
  <c r="H15" i="4" s="1"/>
  <c r="G13" i="4"/>
  <c r="G15" i="4" s="1"/>
  <c r="C30" i="4" a="1"/>
  <c r="D32" i="4"/>
  <c r="E32" i="4"/>
  <c r="F31" i="4"/>
  <c r="F32" i="4"/>
  <c r="M31" i="4"/>
  <c r="M32" i="4"/>
  <c r="N31" i="4"/>
  <c r="N32" i="4"/>
  <c r="J31" i="4"/>
  <c r="K32" i="4"/>
  <c r="L31" i="4"/>
  <c r="L32" i="4"/>
  <c r="G31" i="4"/>
  <c r="G32" i="4"/>
  <c r="H31" i="4"/>
  <c r="H32" i="4"/>
  <c r="I31" i="4"/>
  <c r="E31" i="4"/>
  <c r="I32" i="4"/>
  <c r="J32" i="4"/>
  <c r="D31" i="4"/>
  <c r="K31" i="4"/>
  <c r="K33" i="4" l="1"/>
  <c r="D33" i="4"/>
  <c r="E33" i="4"/>
  <c r="I33" i="4"/>
  <c r="H33" i="4"/>
  <c r="I34" i="4" s="1"/>
  <c r="G33" i="4"/>
  <c r="H34" i="4" s="1"/>
  <c r="L33" i="4"/>
  <c r="L34" i="4" s="1"/>
  <c r="J33" i="4"/>
  <c r="K34" i="4" s="1"/>
  <c r="N33" i="4"/>
  <c r="N34" i="4" s="1"/>
  <c r="M33" i="4"/>
  <c r="M34" i="4" s="1"/>
  <c r="F33" i="4"/>
  <c r="C30" i="4"/>
  <c r="E34" i="4"/>
  <c r="G19" i="4"/>
  <c r="H19" i="4" s="1"/>
  <c r="J34" i="4"/>
  <c r="G34" i="4"/>
  <c r="F34" i="4"/>
  <c r="C31" i="4"/>
  <c r="C32" i="4"/>
  <c r="C33" i="4" l="1"/>
  <c r="D34" i="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AA8FE0-DA5E-4234-892C-EA4673469F4F}" name="Query - Calendar(1)" description="Connection to the 'Calendar' query in the workbook." type="100" refreshedVersion="8" minRefreshableVersion="5">
    <extLst>
      <ext xmlns:x15="http://schemas.microsoft.com/office/spreadsheetml/2010/11/main" uri="{DE250136-89BD-433C-8126-D09CA5730AF9}">
        <x15:connection id="dced98e0-5ef8-4198-99f6-b2c45841cde0"/>
      </ext>
    </extLst>
  </connection>
  <connection id="2" xr16:uid="{B5C09E20-51BF-4387-AAEE-D949A2AF27E4}" keepAlive="1" name="Query - Close Accounts" description="Connection to the 'Close Accounts' query in the workbook." type="5" refreshedVersion="0" background="1">
    <dbPr connection="Provider=Microsoft.Mashup.OleDb.1;Data Source=$Workbook$;Location=&quot;Close Accounts&quot;;Extended Properties=&quot;&quot;" command="SELECT * FROM [Close Accounts]"/>
  </connection>
  <connection id="3" xr16:uid="{CD46D046-9A09-4F8E-969B-60F6446DC7B7}" name="Query - CoA" description="Connection to the 'CoA' query in the workbook." type="100" refreshedVersion="8" minRefreshableVersion="5">
    <extLst>
      <ext xmlns:x15="http://schemas.microsoft.com/office/spreadsheetml/2010/11/main" uri="{DE250136-89BD-433C-8126-D09CA5730AF9}">
        <x15:connection id="fd561fb7-161e-42a6-b9b4-01ab27aaee72"/>
      </ext>
    </extLst>
  </connection>
  <connection id="4" xr16:uid="{860CCF7B-0E9F-4C74-AD9F-8E6522C22A2B}" keepAlive="1" name="Query - Reference" description="Connection to the 'Reference' query in the workbook." type="5" refreshedVersion="0" background="1">
    <dbPr connection="Provider=Microsoft.Mashup.OleDb.1;Data Source=$Workbook$;Location=Reference;Extended Properties=&quot;&quot;" command="SELECT * FROM [Reference]"/>
  </connection>
  <connection id="5" xr16:uid="{2C708070-A885-426E-8E61-F8F43E290EE4}" keepAlive="1" name="Query - Retained Earnings" description="Connection to the 'Retained Earnings' query in the workbook." type="5" refreshedVersion="0" background="1">
    <dbPr connection="Provider=Microsoft.Mashup.OleDb.1;Data Source=$Workbook$;Location=&quot;Retained Earnings&quot;;Extended Properties=&quot;&quot;" command="SELECT * FROM [Retained Earnings]"/>
  </connection>
  <connection id="6" xr16:uid="{DD9AE3A6-0597-4057-82C4-EB9DF5EEFCD7}" name="Query - TB" description="Connection to the 'TB' query in the workbook." type="100" refreshedVersion="8" minRefreshableVersion="5">
    <extLst>
      <ext xmlns:x15="http://schemas.microsoft.com/office/spreadsheetml/2010/11/main" uri="{DE250136-89BD-433C-8126-D09CA5730AF9}">
        <x15:connection id="74e1cbe0-6215-4bc6-a684-6f82cca7eec0"/>
      </ext>
    </extLst>
  </connection>
  <connection id="7" xr16:uid="{36EDE8A2-CF9E-4771-A34C-AC377A3766B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8" xr16:uid="{26FF242B-3A7C-4B9A-841E-580C41BB022D}" name="WorksheetConnection_Creating a Balance Sheet Dashboard updated_Start.xlsx!CoA" type="102" refreshedVersion="8" minRefreshableVersion="5">
    <extLst>
      <ext xmlns:x15="http://schemas.microsoft.com/office/spreadsheetml/2010/11/main" uri="{DE250136-89BD-433C-8126-D09CA5730AF9}">
        <x15:connection id="CoA 1">
          <x15:rangePr sourceName="_xlcn.WorksheetConnection_CreatingaBalanceSheetDashboardupdated_Start.xlsxCoA"/>
        </x15:connection>
      </ext>
    </extLst>
  </connection>
</connections>
</file>

<file path=xl/metadata.xml><?xml version="1.0" encoding="utf-8"?>
<metadata xmlns="http://schemas.openxmlformats.org/spreadsheetml/2006/main" xmlns:xda="http://schemas.microsoft.com/office/spreadsheetml/2017/dynamicarray">
  <metadataTypes count="2">
    <metadataType name="XLMDX"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metadataStrings count="25">
    <s v="ThisWorkbookDataModel"/>
    <s v="{[CoA].[IS or BS].&amp;[BS]}"/>
    <s v="[Measures].[Current]"/>
    <s v="[Measures].[Previous]"/>
    <s v="[CoA].[Sub-Category].&amp;[Current Assets]"/>
    <s v="[CoA].[Sub-Category].&amp;[Current Liabilities]"/>
    <s v="{[Calendar].[Month Name].[All]}"/>
    <s v="#,0.00"/>
    <s v="[CoA].[Category].&amp;[Assets]"/>
    <s v="[CoA].[Category].&amp;[Liabilities]"/>
    <s v="[CoA].[Category].&amp;[Equity]"/>
    <s v="[CoA].[Account].&amp;[Long Term Loans]"/>
    <s v="[Calendar].[Month Name].children"/>
    <s v="[Calendar].[Month Name].&amp;[Jan]"/>
    <s v="[Calendar].[Month Name].&amp;[Feb]"/>
    <s v="[Calendar].[Month Name].&amp;[Mar]"/>
    <s v="[Calendar].[Month Name].&amp;[Apr]"/>
    <s v="[Calendar].[Month Name].&amp;[May]"/>
    <s v="[Calendar].[Month Name].&amp;[Jun]"/>
    <s v="[Calendar].[Month Name].&amp;[Jul]"/>
    <s v="[Calendar].[Month Name].&amp;[Aug]"/>
    <s v="[Calendar].[Month Name].&amp;[Sep]"/>
    <s v="[Calendar].[Month Name].&amp;[Oct]"/>
    <s v="[Calendar].[Month Name].&amp;[Nov]"/>
    <s v="[Calendar].[Month Name].&amp;[Dec]"/>
  </metadataStrings>
  <mdxMetadata count="54">
    <mdx n="0" f="s">
      <ms ns="1" c="0"/>
    </mdx>
    <mdx n="0" f="m">
      <t c="1">
        <n x="2"/>
      </t>
    </mdx>
    <mdx n="0" f="m">
      <t c="1">
        <n x="3"/>
      </t>
    </mdx>
    <mdx n="0" f="m">
      <t c="1">
        <n x="4"/>
      </t>
    </mdx>
    <mdx n="0" f="m">
      <t c="1">
        <n x="5"/>
      </t>
    </mdx>
    <mdx n="0" f="v">
      <t c="3" si="7">
        <n x="2"/>
        <n x="4"/>
        <n x="6" s="1"/>
      </t>
    </mdx>
    <mdx n="0" f="v">
      <t c="3" si="7">
        <n x="3"/>
        <n x="4"/>
        <n x="6" s="1"/>
      </t>
    </mdx>
    <mdx n="0" f="m">
      <t c="1">
        <n x="8"/>
      </t>
    </mdx>
    <mdx n="0" f="m">
      <t c="1">
        <n x="9"/>
      </t>
    </mdx>
    <mdx n="0" f="m">
      <t c="1">
        <n x="10"/>
      </t>
    </mdx>
    <mdx n="0" f="v">
      <t c="3" si="7">
        <n x="3"/>
        <n x="9"/>
        <n x="6" s="1"/>
      </t>
    </mdx>
    <mdx n="0" f="v">
      <t c="3" si="7">
        <n x="2"/>
        <n x="9"/>
        <n x="6" s="1"/>
      </t>
    </mdx>
    <mdx n="0" f="v">
      <t c="3" si="7">
        <n x="2"/>
        <n x="8"/>
        <n x="6" s="1"/>
      </t>
    </mdx>
    <mdx n="0" f="v">
      <t c="3" si="7">
        <n x="3"/>
        <n x="8"/>
        <n x="6" s="1"/>
      </t>
    </mdx>
    <mdx n="0" f="m">
      <t c="1">
        <n x="11"/>
      </t>
    </mdx>
    <mdx n="0" f="v">
      <t c="3" si="7">
        <n x="2"/>
        <n x="11"/>
        <n x="6" s="1"/>
      </t>
    </mdx>
    <mdx n="0" f="s">
      <ms ns="12" c="0"/>
    </mdx>
    <mdx n="0" f="c">
      <ms ns="12" c="0"/>
    </mdx>
    <mdx n="0" f="r">
      <t c="1">
        <n x="13"/>
      </t>
    </mdx>
    <mdx n="0" f="r">
      <t c="1">
        <n x="14"/>
      </t>
    </mdx>
    <mdx n="0" f="r">
      <t c="1">
        <n x="15"/>
      </t>
    </mdx>
    <mdx n="0" f="r">
      <t c="1">
        <n x="16"/>
      </t>
    </mdx>
    <mdx n="0" f="r">
      <t c="1">
        <n x="17"/>
      </t>
    </mdx>
    <mdx n="0" f="r">
      <t c="1">
        <n x="18"/>
      </t>
    </mdx>
    <mdx n="0" f="r">
      <t c="1">
        <n x="19"/>
      </t>
    </mdx>
    <mdx n="0" f="r">
      <t c="1">
        <n x="20"/>
      </t>
    </mdx>
    <mdx n="0" f="r">
      <t c="1">
        <n x="21"/>
      </t>
    </mdx>
    <mdx n="0" f="r">
      <t c="1">
        <n x="22"/>
      </t>
    </mdx>
    <mdx n="0" f="r">
      <t c="1">
        <n x="23"/>
      </t>
    </mdx>
    <mdx n="0" f="r">
      <t c="1">
        <n x="24"/>
      </t>
    </mdx>
    <mdx n="0" f="v">
      <t c="3" si="7">
        <n x="2"/>
        <n x="4"/>
        <n x="13"/>
      </t>
    </mdx>
    <mdx n="0" f="v">
      <t c="3" si="7">
        <n x="2"/>
        <n x="4"/>
        <n x="14"/>
      </t>
    </mdx>
    <mdx n="0" f="v">
      <t c="3" si="7">
        <n x="2"/>
        <n x="4"/>
        <n x="16"/>
      </t>
    </mdx>
    <mdx n="0" f="v">
      <t c="3" si="7">
        <n x="2"/>
        <n x="4"/>
        <n x="17"/>
      </t>
    </mdx>
    <mdx n="0" f="v">
      <t c="3" si="7">
        <n x="2"/>
        <n x="4"/>
        <n x="18"/>
      </t>
    </mdx>
    <mdx n="0" f="v">
      <t c="3" si="7">
        <n x="2"/>
        <n x="4"/>
        <n x="19"/>
      </t>
    </mdx>
    <mdx n="0" f="v">
      <t c="3" si="7">
        <n x="2"/>
        <n x="4"/>
        <n x="20"/>
      </t>
    </mdx>
    <mdx n="0" f="v">
      <t c="3" si="7">
        <n x="2"/>
        <n x="4"/>
        <n x="21"/>
      </t>
    </mdx>
    <mdx n="0" f="v">
      <t c="3" si="7">
        <n x="2"/>
        <n x="4"/>
        <n x="22"/>
      </t>
    </mdx>
    <mdx n="0" f="v">
      <t c="3" si="7">
        <n x="2"/>
        <n x="4"/>
        <n x="23"/>
      </t>
    </mdx>
    <mdx n="0" f="v">
      <t c="3" si="7">
        <n x="2"/>
        <n x="4"/>
        <n x="24"/>
      </t>
    </mdx>
    <mdx n="0" f="v">
      <t c="3" si="7">
        <n x="2"/>
        <n x="4"/>
        <n x="15"/>
      </t>
    </mdx>
    <mdx n="0" f="v">
      <t c="3" si="7">
        <n x="2"/>
        <n x="5"/>
        <n x="13"/>
      </t>
    </mdx>
    <mdx n="0" f="v">
      <t c="3" si="7">
        <n x="2"/>
        <n x="5"/>
        <n x="15"/>
      </t>
    </mdx>
    <mdx n="0" f="v">
      <t c="3" si="7">
        <n x="2"/>
        <n x="5"/>
        <n x="16"/>
      </t>
    </mdx>
    <mdx n="0" f="v">
      <t c="3" si="7">
        <n x="2"/>
        <n x="5"/>
        <n x="17"/>
      </t>
    </mdx>
    <mdx n="0" f="v">
      <t c="3" si="7">
        <n x="2"/>
        <n x="5"/>
        <n x="18"/>
      </t>
    </mdx>
    <mdx n="0" f="v">
      <t c="3" si="7">
        <n x="2"/>
        <n x="5"/>
        <n x="19"/>
      </t>
    </mdx>
    <mdx n="0" f="v">
      <t c="3" si="7">
        <n x="2"/>
        <n x="5"/>
        <n x="20"/>
      </t>
    </mdx>
    <mdx n="0" f="v">
      <t c="3" si="7">
        <n x="2"/>
        <n x="5"/>
        <n x="21"/>
      </t>
    </mdx>
    <mdx n="0" f="v">
      <t c="3" si="7">
        <n x="2"/>
        <n x="5"/>
        <n x="22"/>
      </t>
    </mdx>
    <mdx n="0" f="v">
      <t c="3" si="7">
        <n x="2"/>
        <n x="5"/>
        <n x="23"/>
      </t>
    </mdx>
    <mdx n="0" f="v">
      <t c="3" si="7">
        <n x="2"/>
        <n x="5"/>
        <n x="24"/>
      </t>
    </mdx>
    <mdx n="0" f="v">
      <t c="3" si="7">
        <n x="2"/>
        <n x="5"/>
        <n x="14"/>
      </t>
    </mdx>
  </mdxMetadata>
  <futureMetadata name="XLDAPR" count="1">
    <bk>
      <extLst>
        <ext uri="{bdbb8cdc-fa1e-496e-a857-3c3f30c029c3}">
          <xda:dynamicArrayProperties fDynamic="1" fCollapsed="0"/>
        </ext>
      </extLst>
    </bk>
  </futureMetadata>
  <cellMetadata count="1">
    <bk>
      <rc t="2" v="0"/>
    </bk>
  </cellMetadata>
  <valueMetadata count="54">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valueMetadata>
</metadata>
</file>

<file path=xl/sharedStrings.xml><?xml version="1.0" encoding="utf-8"?>
<sst xmlns="http://schemas.openxmlformats.org/spreadsheetml/2006/main" count="310" uniqueCount="90">
  <si>
    <t>Account Code</t>
  </si>
  <si>
    <t>Account</t>
  </si>
  <si>
    <t>Jan-23</t>
  </si>
  <si>
    <t>Feb-23</t>
  </si>
  <si>
    <t>Mar-23</t>
  </si>
  <si>
    <t>Apr-23</t>
  </si>
  <si>
    <t>May-23</t>
  </si>
  <si>
    <t>Jun-23</t>
  </si>
  <si>
    <t>Jul-23</t>
  </si>
  <si>
    <t>Aug-23</t>
  </si>
  <si>
    <t>Sep-23</t>
  </si>
  <si>
    <t>Oct-23</t>
  </si>
  <si>
    <t>Nov-23</t>
  </si>
  <si>
    <t>Dec-23</t>
  </si>
  <si>
    <t>Revenue</t>
  </si>
  <si>
    <t>Cost of Sales</t>
  </si>
  <si>
    <t>Payroll expenses</t>
  </si>
  <si>
    <t>Marketing expenses</t>
  </si>
  <si>
    <t>Bank Charges</t>
  </si>
  <si>
    <t>Promotion</t>
  </si>
  <si>
    <t>Research and development</t>
  </si>
  <si>
    <t>Office Expenses</t>
  </si>
  <si>
    <t>Utilities</t>
  </si>
  <si>
    <t xml:space="preserve">Entertainment </t>
  </si>
  <si>
    <t>Equipment maintenance</t>
  </si>
  <si>
    <t>Premises insurance</t>
  </si>
  <si>
    <t>Legal Fees</t>
  </si>
  <si>
    <t>Motor Vehicle Expenses</t>
  </si>
  <si>
    <t>Postage &amp; carriage</t>
  </si>
  <si>
    <t>Printing &amp; Stationery</t>
  </si>
  <si>
    <t>Consultancy fees</t>
  </si>
  <si>
    <t>Rent Expenses</t>
  </si>
  <si>
    <t>Repairs &amp; Maintenance</t>
  </si>
  <si>
    <t>Payroll</t>
  </si>
  <si>
    <t>Security</t>
  </si>
  <si>
    <t>Subscriptions</t>
  </si>
  <si>
    <t>Telephone &amp; Fax</t>
  </si>
  <si>
    <t>Training Expenses</t>
  </si>
  <si>
    <t>Uniforms</t>
  </si>
  <si>
    <t>Depreciation</t>
  </si>
  <si>
    <t>Interest</t>
  </si>
  <si>
    <t>Taxation</t>
  </si>
  <si>
    <t>Property, Plant &amp; Equipment</t>
  </si>
  <si>
    <t>Accum Depr: PPE</t>
  </si>
  <si>
    <t>Inventory</t>
  </si>
  <si>
    <t>Receivables</t>
  </si>
  <si>
    <t>Cash</t>
  </si>
  <si>
    <t>Capital Contributions</t>
  </si>
  <si>
    <t>Retained Earnings</t>
  </si>
  <si>
    <t>Long Term Loans</t>
  </si>
  <si>
    <t>Payables</t>
  </si>
  <si>
    <t>Provision for Taxation</t>
  </si>
  <si>
    <t>IS or BS</t>
  </si>
  <si>
    <t>Category</t>
  </si>
  <si>
    <t>Sub-Category</t>
  </si>
  <si>
    <t>Debit or Credit</t>
  </si>
  <si>
    <t>IS</t>
  </si>
  <si>
    <t>C</t>
  </si>
  <si>
    <t>Cost of Goods Sold</t>
  </si>
  <si>
    <t>D</t>
  </si>
  <si>
    <t>Expenses</t>
  </si>
  <si>
    <t>General and administrative</t>
  </si>
  <si>
    <t>Sales and marketing</t>
  </si>
  <si>
    <t>Finance costs</t>
  </si>
  <si>
    <t>Tax</t>
  </si>
  <si>
    <t>BS</t>
  </si>
  <si>
    <t>Long Term Assets</t>
  </si>
  <si>
    <t>Current Assets</t>
  </si>
  <si>
    <t>Equity</t>
  </si>
  <si>
    <t>Shareholders Equity</t>
  </si>
  <si>
    <t>Long Term Liabilities</t>
  </si>
  <si>
    <t>Current Liabilities</t>
  </si>
  <si>
    <t>Assets</t>
  </si>
  <si>
    <t>Liabilities</t>
  </si>
  <si>
    <t>Row Labels</t>
  </si>
  <si>
    <t>Grand Total</t>
  </si>
  <si>
    <t>Current</t>
  </si>
  <si>
    <t>Previous</t>
  </si>
  <si>
    <t>Working Captial</t>
  </si>
  <si>
    <t>Check</t>
  </si>
  <si>
    <t>Debt to Equity</t>
  </si>
  <si>
    <t>Months</t>
  </si>
  <si>
    <t>Count</t>
  </si>
  <si>
    <t>Working Capital</t>
  </si>
  <si>
    <t>Variance</t>
  </si>
  <si>
    <t>Variance2</t>
  </si>
  <si>
    <t>Accounts</t>
  </si>
  <si>
    <t>Debt to Equity Ratio</t>
  </si>
  <si>
    <t>Changes in Working Capital</t>
  </si>
  <si>
    <t>Changes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</si>
</sst>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0_);_(* \(#,##0\);_(* &quot;-&quot;_);_(@_)"/>
    <numFmt numFmtId="165" formatCode=";;;"/>
  </numFmts>
  <fonts count="6" x14ac:knownFonts="1">
    <font>
      <sz val="11"/>
      <color theme="1"/>
      <name val="Aptos Narrow"/>
      <family val="2"/>
      <scheme val="minor"/>
    </font>
    <font>
      <b/>
      <sz val="11"/>
      <color theme="1"/>
      <name val="Aptos Narrow"/>
      <family val="2"/>
      <scheme val="minor"/>
    </font>
    <font>
      <sz val="9"/>
      <color theme="1"/>
      <name val="Segoe UI"/>
      <family val="2"/>
    </font>
    <font>
      <sz val="11"/>
      <color theme="1"/>
      <name val="Aptos Narrow"/>
      <family val="2"/>
      <scheme val="minor"/>
    </font>
    <font>
      <sz val="11"/>
      <color theme="0"/>
      <name val="Aptos Narrow"/>
      <family val="2"/>
      <scheme val="minor"/>
    </font>
    <font>
      <sz val="11"/>
      <color rgb="FF333F4F"/>
      <name val="Aptos Narrow"/>
      <family val="2"/>
      <scheme val="minor"/>
    </font>
  </fonts>
  <fills count="3">
    <fill>
      <patternFill patternType="none"/>
    </fill>
    <fill>
      <patternFill patternType="gray125"/>
    </fill>
    <fill>
      <patternFill patternType="solid">
        <fgColor rgb="FF333F4F"/>
        <bgColor indexed="64"/>
      </patternFill>
    </fill>
  </fills>
  <borders count="7">
    <border>
      <left/>
      <right/>
      <top/>
      <bottom/>
      <diagonal/>
    </border>
    <border>
      <left style="thin">
        <color auto="1"/>
      </left>
      <right style="thin">
        <color auto="1"/>
      </right>
      <top/>
      <bottom style="thin">
        <color auto="1"/>
      </bottom>
      <diagonal/>
    </border>
    <border>
      <left/>
      <right/>
      <top/>
      <bottom style="medium">
        <color indexed="64"/>
      </bottom>
      <diagonal/>
    </border>
    <border>
      <left style="thin">
        <color auto="1"/>
      </left>
      <right style="thin">
        <color auto="1"/>
      </right>
      <top style="thin">
        <color auto="1"/>
      </top>
      <bottom style="thin">
        <color auto="1"/>
      </bottom>
      <diagonal/>
    </border>
    <border>
      <left/>
      <right/>
      <top/>
      <bottom style="hair">
        <color rgb="FFC8C8C8"/>
      </bottom>
      <diagonal/>
    </border>
    <border>
      <left style="hair">
        <color rgb="FFC8C8C8"/>
      </left>
      <right style="hair">
        <color rgb="FFC8C8C8"/>
      </right>
      <top style="hair">
        <color rgb="FFC8C8C8"/>
      </top>
      <bottom style="hair">
        <color rgb="FFC8C8C8"/>
      </bottom>
      <diagonal/>
    </border>
    <border>
      <left/>
      <right/>
      <top style="thin">
        <color auto="1"/>
      </top>
      <bottom style="hair">
        <color rgb="FFC8C8C8"/>
      </bottom>
      <diagonal/>
    </border>
  </borders>
  <cellStyleXfs count="3">
    <xf numFmtId="0" fontId="0" fillId="0" borderId="0"/>
    <xf numFmtId="0" fontId="2" fillId="0" borderId="0"/>
    <xf numFmtId="9" fontId="3" fillId="0" borderId="0" applyFont="0" applyFill="0" applyBorder="0" applyAlignment="0" applyProtection="0"/>
  </cellStyleXfs>
  <cellXfs count="28">
    <xf numFmtId="0" fontId="0" fillId="0" borderId="0" xfId="0"/>
    <xf numFmtId="0" fontId="1" fillId="0" borderId="1" xfId="0" applyFont="1" applyBorder="1" applyAlignment="1">
      <alignment horizontal="center" vertical="top"/>
    </xf>
    <xf numFmtId="17" fontId="1" fillId="0" borderId="1" xfId="0" applyNumberFormat="1" applyFont="1" applyBorder="1" applyAlignment="1">
      <alignment horizontal="center" vertical="top"/>
    </xf>
    <xf numFmtId="164" fontId="0" fillId="0" borderId="0" xfId="0" applyNumberFormat="1"/>
    <xf numFmtId="0" fontId="0" fillId="0" borderId="2" xfId="0" applyBorder="1"/>
    <xf numFmtId="164" fontId="0" fillId="0" borderId="2" xfId="0" applyNumberFormat="1" applyBorder="1"/>
    <xf numFmtId="164" fontId="1" fillId="0" borderId="0" xfId="0" applyNumberFormat="1" applyFont="1"/>
    <xf numFmtId="4" fontId="0" fillId="0" borderId="0" xfId="0" applyNumberFormat="1"/>
    <xf numFmtId="0" fontId="2" fillId="0" borderId="0" xfId="1"/>
    <xf numFmtId="0" fontId="0" fillId="0" borderId="0" xfId="0" pivotButton="1"/>
    <xf numFmtId="0" fontId="0" fillId="0" borderId="0" xfId="0" applyAlignment="1">
      <alignment horizontal="left"/>
    </xf>
    <xf numFmtId="2" fontId="0" fillId="0" borderId="0" xfId="0" applyNumberFormat="1"/>
    <xf numFmtId="0" fontId="0" fillId="0" borderId="0" xfId="0" applyAlignment="1">
      <alignment horizontal="left" indent="1"/>
    </xf>
    <xf numFmtId="0" fontId="0" fillId="0" borderId="0" xfId="0" applyAlignment="1">
      <alignment horizontal="left" indent="2"/>
    </xf>
    <xf numFmtId="9" fontId="0" fillId="0" borderId="0" xfId="2" applyFont="1"/>
    <xf numFmtId="0" fontId="0" fillId="0" borderId="3" xfId="0" applyBorder="1"/>
    <xf numFmtId="4" fontId="0" fillId="0" borderId="3" xfId="0" applyNumberFormat="1" applyBorder="1"/>
    <xf numFmtId="0" fontId="4" fillId="2" borderId="0" xfId="0" applyFont="1" applyFill="1"/>
    <xf numFmtId="0" fontId="4" fillId="2" borderId="0" xfId="0" applyFont="1" applyFill="1" applyAlignment="1">
      <alignment horizontal="left"/>
    </xf>
    <xf numFmtId="4" fontId="4" fillId="2" borderId="0" xfId="0" applyNumberFormat="1" applyFont="1" applyFill="1"/>
    <xf numFmtId="0" fontId="4" fillId="2" borderId="0" xfId="0" applyFont="1" applyFill="1" applyAlignment="1">
      <alignment horizontal="left" indent="1"/>
    </xf>
    <xf numFmtId="0" fontId="4" fillId="2" borderId="0" xfId="0" applyFont="1" applyFill="1" applyAlignment="1">
      <alignment horizontal="left" indent="2"/>
    </xf>
    <xf numFmtId="0" fontId="4" fillId="2" borderId="0" xfId="0" applyFont="1" applyFill="1" applyAlignment="1">
      <alignment horizontal="center"/>
    </xf>
    <xf numFmtId="0" fontId="5" fillId="2" borderId="0" xfId="0" applyFont="1" applyFill="1" applyAlignment="1">
      <alignment horizontal="center"/>
    </xf>
    <xf numFmtId="0" fontId="4" fillId="2" borderId="4" xfId="0" applyFont="1" applyFill="1" applyBorder="1"/>
    <xf numFmtId="165" fontId="4" fillId="2" borderId="5" xfId="0" applyNumberFormat="1" applyFont="1" applyFill="1" applyBorder="1"/>
    <xf numFmtId="0" fontId="0" fillId="0" borderId="6" xfId="0" applyBorder="1"/>
    <xf numFmtId="4" fontId="0" fillId="0" borderId="6" xfId="0" applyNumberFormat="1" applyBorder="1"/>
  </cellXfs>
  <cellStyles count="3">
    <cellStyle name="Normal" xfId="0" builtinId="0"/>
    <cellStyle name="Normal 2" xfId="1" xr:uid="{35EC16FD-6BD6-4330-BFC3-6BBFA637126C}"/>
    <cellStyle name="Percent" xfId="2" builtinId="5"/>
  </cellStyles>
  <dxfs count="66">
    <dxf>
      <font>
        <color rgb="FF333F4F"/>
      </font>
    </dxf>
    <dxf>
      <alignment horizontal="center"/>
    </dxf>
    <dxf>
      <alignment horizontal="center"/>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333F4F"/>
        </patternFill>
      </fill>
    </dxf>
    <dxf>
      <fill>
        <patternFill>
          <bgColor rgb="FF333F4F"/>
        </patternFill>
      </fill>
    </dxf>
    <dxf>
      <fill>
        <patternFill>
          <bgColor rgb="FF333F4F"/>
        </patternFill>
      </fill>
    </dxf>
    <dxf>
      <fill>
        <patternFill>
          <bgColor rgb="FF333F4F"/>
        </patternFill>
      </fill>
    </dxf>
    <dxf>
      <fill>
        <patternFill>
          <bgColor rgb="FF333F4F"/>
        </patternFill>
      </fill>
    </dxf>
    <dxf>
      <fill>
        <patternFill>
          <bgColor rgb="FF333F4F"/>
        </patternFill>
      </fill>
    </dxf>
    <dxf>
      <fill>
        <patternFill>
          <bgColor rgb="FF333F4F"/>
        </patternFill>
      </fill>
    </dxf>
    <dxf>
      <fill>
        <patternFill>
          <bgColor rgb="FF333F4F"/>
        </patternFill>
      </fill>
    </dxf>
    <dxf>
      <fill>
        <patternFill>
          <bgColor rgb="FF333F4F"/>
        </patternFill>
      </fill>
    </dxf>
    <dxf>
      <fill>
        <patternFill>
          <bgColor rgb="FF333F4F"/>
        </patternFill>
      </fill>
    </dxf>
    <dxf>
      <fill>
        <patternFill>
          <bgColor rgb="FF333F4F"/>
        </patternFill>
      </fill>
    </dxf>
    <dxf>
      <fill>
        <patternFill>
          <bgColor rgb="FF333F4F"/>
        </patternFill>
      </fill>
    </dxf>
    <dxf>
      <fill>
        <patternFill>
          <bgColor rgb="FF333F4F"/>
        </patternFill>
      </fill>
    </dxf>
    <dxf>
      <fill>
        <patternFill>
          <bgColor rgb="FF333F4F"/>
        </patternFill>
      </fill>
    </dxf>
    <dxf>
      <fill>
        <patternFill>
          <bgColor rgb="FF333F4F"/>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bgColor theme="0" tint="-0.14996795556505021"/>
        </patternFill>
      </fill>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border outline="0">
        <top style="thin">
          <color auto="1"/>
        </top>
      </border>
    </dxf>
    <dxf>
      <border outline="0">
        <bottom style="thin">
          <color auto="1"/>
        </bottom>
      </border>
    </dxf>
    <dxf>
      <font>
        <b/>
        <i val="0"/>
        <strike val="0"/>
        <condense val="0"/>
        <extend val="0"/>
        <outline val="0"/>
        <shadow val="0"/>
        <u val="none"/>
        <vertAlign val="baseline"/>
        <sz val="11"/>
        <color theme="1"/>
        <name val="Aptos Narrow"/>
        <family val="2"/>
        <scheme val="minor"/>
      </font>
      <numFmt numFmtId="166" formatCode="mmm\-yy"/>
      <alignment horizontal="center" vertical="top" textRotation="0" wrapText="0" indent="0" justifyLastLine="0" shrinkToFit="0" readingOrder="0"/>
      <border diagonalUp="0" diagonalDown="0" outline="0">
        <left style="thin">
          <color auto="1"/>
        </left>
        <right style="thin">
          <color auto="1"/>
        </right>
        <top/>
        <bottom/>
      </border>
    </dxf>
    <dxf>
      <font>
        <color theme="0"/>
      </font>
      <border>
        <bottom style="thin">
          <color theme="0"/>
        </bottom>
        <vertical/>
        <horizontal/>
      </border>
    </dxf>
    <dxf>
      <font>
        <color theme="1"/>
      </font>
      <fill>
        <patternFill>
          <bgColor rgb="FF333F4F"/>
        </patternFill>
      </fill>
      <border diagonalUp="0" diagonalDown="0">
        <left/>
        <right/>
        <top/>
        <bottom/>
        <vertical/>
        <horizontal/>
      </border>
    </dxf>
  </dxfs>
  <tableStyles count="1" defaultTableStyle="TableStyleMedium2" defaultPivotStyle="PivotStyleLight16">
    <tableStyle name="Pavanan" pivot="0" table="0" count="10" xr9:uid="{E73381AE-930F-4659-BEBD-EAC76ED9F79C}">
      <tableStyleElement type="wholeTable" dxfId="65"/>
      <tableStyleElement type="headerRow" dxfId="64"/>
    </tableStyle>
  </tableStyles>
  <colors>
    <mruColors>
      <color rgb="FFFF3300"/>
      <color rgb="FFC8C8C8"/>
      <color rgb="FF333F4F"/>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rgb="FF0070C0"/>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Pavanan">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volatileDependencies.xml><?xml version="1.0" encoding="utf-8"?>
<volTypes xmlns="http://schemas.openxmlformats.org/spreadsheetml/2006/main">
  <volType type="olapFunctions">
    <main first="ThisWorkbookDataModel">
      <tp t="e">
        <v>#N/A</v>
        <stp>1</stp>
        <tr r="C32" s="4"/>
        <tr r="C31" s="4"/>
        <tr r="K31" s="4"/>
        <tr r="D31" s="4"/>
        <tr r="J32" s="4"/>
        <tr r="I32" s="4"/>
        <tr r="E31" s="4"/>
        <tr r="I31" s="4"/>
        <tr r="H32" s="4"/>
        <tr r="H31" s="4"/>
        <tr r="G32" s="4"/>
        <tr r="G31" s="4"/>
        <tr r="L32" s="4"/>
        <tr r="L31" s="4"/>
        <tr r="K32" s="4"/>
        <tr r="J31" s="4"/>
        <tr r="N32" s="4"/>
        <tr r="N31" s="4"/>
        <tr r="M32" s="4"/>
        <tr r="M31" s="4"/>
        <tr r="F32" s="4"/>
        <tr r="F31" s="4"/>
        <tr r="E32" s="4"/>
        <tr r="D32" s="4"/>
        <tr r="C30" s="4"/>
        <tr r="C30" s="4"/>
        <tr r="C30" s="4"/>
        <tr r="C30" s="4"/>
        <tr r="C30" s="4"/>
        <tr r="C30" s="4"/>
        <tr r="C30" s="4"/>
        <tr r="C30" s="4"/>
        <tr r="C30" s="4"/>
        <tr r="C30" s="4"/>
        <tr r="C30" s="4"/>
        <tr r="C30" s="4"/>
        <tr r="G17" s="4"/>
        <tr r="G17" s="4"/>
        <tr r="G11" s="4"/>
        <tr r="G11" s="4"/>
        <tr r="G12" s="4"/>
        <tr r="G12" s="4"/>
        <tr r="H12" s="4"/>
        <tr r="H12" s="4"/>
        <tr r="H11" s="4"/>
        <tr r="H11" s="4"/>
        <tr r="H6" s="4"/>
        <tr r="H6" s="4"/>
        <tr r="B29" s="4"/>
        <tr r="G6" s="4"/>
        <tr r="G6" s="4"/>
        <tr r="F6" s="4"/>
        <tr r="F11" s="4"/>
        <tr r="F13" s="4"/>
        <tr r="B31" s="4"/>
        <tr r="H7" s="4"/>
        <tr r="H7" s="4"/>
        <tr r="G7" s="4"/>
        <tr r="G7" s="4"/>
        <tr r="F7" s="4"/>
        <tr r="F12" s="4"/>
        <tr r="F17" s="4"/>
        <tr r="B28" s="4"/>
        <tr r="B32" s="4"/>
        <tr r="H5" s="4"/>
        <tr r="G5" s="4"/>
      </tp>
    </main>
  </volType>
</volTypes>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18" Type="http://schemas.openxmlformats.org/officeDocument/2006/relationships/customXml" Target="../customXml/item2.xml"/><Relationship Id="rId26" Type="http://schemas.openxmlformats.org/officeDocument/2006/relationships/customXml" Target="../customXml/item10.xml"/><Relationship Id="rId39" Type="http://schemas.openxmlformats.org/officeDocument/2006/relationships/customXml" Target="../customXml/item23.xml"/><Relationship Id="rId21" Type="http://schemas.openxmlformats.org/officeDocument/2006/relationships/customXml" Target="../customXml/item5.xml"/><Relationship Id="rId34" Type="http://schemas.openxmlformats.org/officeDocument/2006/relationships/customXml" Target="../customXml/item18.xml"/><Relationship Id="rId7" Type="http://schemas.openxmlformats.org/officeDocument/2006/relationships/pivotCacheDefinition" Target="pivotCache/pivotCacheDefinition3.xml"/><Relationship Id="rId12" Type="http://schemas.openxmlformats.org/officeDocument/2006/relationships/styles" Target="styles.xml"/><Relationship Id="rId17" Type="http://schemas.openxmlformats.org/officeDocument/2006/relationships/customXml" Target="../customXml/item1.xml"/><Relationship Id="rId25" Type="http://schemas.openxmlformats.org/officeDocument/2006/relationships/customXml" Target="../customXml/item9.xml"/><Relationship Id="rId33" Type="http://schemas.openxmlformats.org/officeDocument/2006/relationships/customXml" Target="../customXml/item17.xml"/><Relationship Id="rId38" Type="http://schemas.openxmlformats.org/officeDocument/2006/relationships/customXml" Target="../customXml/item22.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29"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onnections" Target="connections.xml"/><Relationship Id="rId24" Type="http://schemas.openxmlformats.org/officeDocument/2006/relationships/customXml" Target="../customXml/item8.xml"/><Relationship Id="rId32" Type="http://schemas.openxmlformats.org/officeDocument/2006/relationships/customXml" Target="../customXml/item16.xml"/><Relationship Id="rId37" Type="http://schemas.openxmlformats.org/officeDocument/2006/relationships/customXml" Target="../customXml/item21.xml"/><Relationship Id="rId40" Type="http://schemas.openxmlformats.org/officeDocument/2006/relationships/volatileDependencies" Target="volatileDependencies.xml"/><Relationship Id="rId5" Type="http://schemas.openxmlformats.org/officeDocument/2006/relationships/pivotCacheDefinition" Target="pivotCache/pivotCacheDefinition1.xml"/><Relationship Id="rId15" Type="http://schemas.openxmlformats.org/officeDocument/2006/relationships/powerPivotData" Target="model/item.data"/><Relationship Id="rId23" Type="http://schemas.openxmlformats.org/officeDocument/2006/relationships/customXml" Target="../customXml/item7.xml"/><Relationship Id="rId28" Type="http://schemas.openxmlformats.org/officeDocument/2006/relationships/customXml" Target="../customXml/item12.xml"/><Relationship Id="rId36" Type="http://schemas.openxmlformats.org/officeDocument/2006/relationships/customXml" Target="../customXml/item20.xml"/><Relationship Id="rId10" Type="http://schemas.openxmlformats.org/officeDocument/2006/relationships/theme" Target="theme/theme1.xml"/><Relationship Id="rId19" Type="http://schemas.openxmlformats.org/officeDocument/2006/relationships/customXml" Target="../customXml/item3.xml"/><Relationship Id="rId31" Type="http://schemas.openxmlformats.org/officeDocument/2006/relationships/customXml" Target="../customXml/item15.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eetMetadata" Target="metadata.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 Id="rId35" Type="http://schemas.openxmlformats.org/officeDocument/2006/relationships/customXml" Target="../customXml/item19.xml"/><Relationship Id="rId8" Type="http://schemas.openxmlformats.org/officeDocument/2006/relationships/pivotCacheDefinition" Target="pivotCache/pivotCacheDefinition4.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Calculations!$F$6</c:f>
              <c:strCache>
                <c:ptCount val="1"/>
                <c:pt idx="0">
                  <c:v>Current Assets</c:v>
                </c:pt>
              </c:strCache>
            </c:strRef>
          </c:tx>
          <c:spPr>
            <a:solidFill>
              <a:srgbClr val="00B050"/>
            </a:solidFill>
            <a:ln>
              <a:noFill/>
            </a:ln>
            <a:effectLst/>
          </c:spPr>
          <c:invertIfNegative val="0"/>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Calculations!$G$6</c:f>
              <c:numCache>
                <c:formatCode>General</c:formatCode>
                <c:ptCount val="1"/>
                <c:pt idx="0">
                  <c:v>5450353.3709000004</c:v>
                </c:pt>
              </c:numCache>
            </c:numRef>
          </c:val>
          <c:extLst>
            <c:ext xmlns:c16="http://schemas.microsoft.com/office/drawing/2014/chart" uri="{C3380CC4-5D6E-409C-BE32-E72D297353CC}">
              <c16:uniqueId val="{00000000-7876-4AD7-81B1-38F47EB1849D}"/>
            </c:ext>
          </c:extLst>
        </c:ser>
        <c:ser>
          <c:idx val="1"/>
          <c:order val="1"/>
          <c:tx>
            <c:strRef>
              <c:f>Calculations!$F$7</c:f>
              <c:strCache>
                <c:ptCount val="1"/>
                <c:pt idx="0">
                  <c:v>Current Liabilities</c:v>
                </c:pt>
              </c:strCache>
            </c:strRef>
          </c:tx>
          <c:spPr>
            <a:solidFill>
              <a:srgbClr val="FF3300"/>
            </a:solidFill>
            <a:ln>
              <a:noFill/>
            </a:ln>
            <a:effectLst/>
          </c:spPr>
          <c:invertIfNegative val="0"/>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Calculations!$G$7</c:f>
              <c:numCache>
                <c:formatCode>General</c:formatCode>
                <c:ptCount val="1"/>
                <c:pt idx="0">
                  <c:v>397277.67859999998</c:v>
                </c:pt>
              </c:numCache>
            </c:numRef>
          </c:val>
          <c:extLst>
            <c:ext xmlns:c16="http://schemas.microsoft.com/office/drawing/2014/chart" uri="{C3380CC4-5D6E-409C-BE32-E72D297353CC}">
              <c16:uniqueId val="{00000001-7876-4AD7-81B1-38F47EB1849D}"/>
            </c:ext>
          </c:extLst>
        </c:ser>
        <c:ser>
          <c:idx val="2"/>
          <c:order val="2"/>
          <c:tx>
            <c:strRef>
              <c:f>Calculations!$F$8</c:f>
              <c:strCache>
                <c:ptCount val="1"/>
                <c:pt idx="0">
                  <c:v>Working Captial</c:v>
                </c:pt>
              </c:strCache>
            </c:strRef>
          </c:tx>
          <c:spPr>
            <a:solidFill>
              <a:schemeClr val="bg1"/>
            </a:solidFill>
            <a:ln>
              <a:noFill/>
            </a:ln>
            <a:effectLst/>
          </c:spPr>
          <c:invertIfNegative val="0"/>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Calculations!$G$8</c:f>
              <c:numCache>
                <c:formatCode>#,##0.00</c:formatCode>
                <c:ptCount val="1"/>
                <c:pt idx="0">
                  <c:v>5053075.6923000002</c:v>
                </c:pt>
              </c:numCache>
            </c:numRef>
          </c:val>
          <c:extLst>
            <c:ext xmlns:c16="http://schemas.microsoft.com/office/drawing/2014/chart" uri="{C3380CC4-5D6E-409C-BE32-E72D297353CC}">
              <c16:uniqueId val="{00000002-7876-4AD7-81B1-38F47EB1849D}"/>
            </c:ext>
          </c:extLst>
        </c:ser>
        <c:dLbls>
          <c:dLblPos val="ctr"/>
          <c:showLegendKey val="0"/>
          <c:showVal val="1"/>
          <c:showCatName val="0"/>
          <c:showSerName val="0"/>
          <c:showPercent val="0"/>
          <c:showBubbleSize val="0"/>
        </c:dLbls>
        <c:gapWidth val="150"/>
        <c:overlap val="100"/>
        <c:axId val="2138363488"/>
        <c:axId val="2138363968"/>
      </c:barChart>
      <c:catAx>
        <c:axId val="2138363488"/>
        <c:scaling>
          <c:orientation val="minMax"/>
        </c:scaling>
        <c:delete val="1"/>
        <c:axPos val="l"/>
        <c:numFmt formatCode="General" sourceLinked="1"/>
        <c:majorTickMark val="none"/>
        <c:minorTickMark val="none"/>
        <c:tickLblPos val="nextTo"/>
        <c:crossAx val="2138363968"/>
        <c:crosses val="autoZero"/>
        <c:auto val="1"/>
        <c:lblAlgn val="ctr"/>
        <c:lblOffset val="100"/>
        <c:noMultiLvlLbl val="0"/>
      </c:catAx>
      <c:valAx>
        <c:axId val="2138363968"/>
        <c:scaling>
          <c:orientation val="minMax"/>
        </c:scaling>
        <c:delete val="1"/>
        <c:axPos val="b"/>
        <c:numFmt formatCode="General" sourceLinked="1"/>
        <c:majorTickMark val="none"/>
        <c:minorTickMark val="none"/>
        <c:tickLblPos val="nextTo"/>
        <c:crossAx val="21383634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_xlchart.v5.0</cx:f>
      </cx:strDim>
      <cx:numDim type="val">
        <cx:f dir="row">_xlchart.v5.1</cx:f>
      </cx:numDim>
    </cx:data>
  </cx:chartData>
  <cx:chart>
    <cx:plotArea>
      <cx:plotAreaRegion>
        <cx:series layoutId="waterfall" uniqueId="{75FBCFFA-31A7-43EE-B9D0-E1BA4B1F2209}">
          <cx:dataLabels pos="outEnd">
            <cx:numFmt formatCode="0.00,&quot;K&quot;" sourceLinked="0"/>
            <cx:spPr>
              <a:ln>
                <a:noFill/>
              </a:ln>
            </cx:spPr>
            <cx:txPr>
              <a:bodyPr vertOverflow="overflow" horzOverflow="overflow" wrap="square" lIns="0" tIns="0" rIns="0" bIns="0"/>
              <a:lstStyle/>
              <a:p>
                <a:pPr algn="ctr" rtl="0">
                  <a:defRPr sz="800" b="0" i="0">
                    <a:solidFill>
                      <a:schemeClr val="bg1"/>
                    </a:solidFill>
                    <a:latin typeface="Aptos Narrow" panose="020B0004020202020204" pitchFamily="34" charset="0"/>
                    <a:ea typeface="Aptos Narrow" panose="020B0004020202020204" pitchFamily="34" charset="0"/>
                    <a:cs typeface="Aptos Narrow" panose="020B0004020202020204" pitchFamily="34" charset="0"/>
                  </a:defRPr>
                </a:pPr>
                <a:endParaRPr lang="en-IN" sz="800" b="0">
                  <a:solidFill>
                    <a:schemeClr val="bg1"/>
                  </a:solidFill>
                </a:endParaRPr>
              </a:p>
            </cx:txPr>
            <cx:visibility seriesName="0" categoryName="0" value="1"/>
            <cx:separator>, </cx:separator>
          </cx:dataLabels>
          <cx:dataId val="0"/>
          <cx:layoutPr>
            <cx:subtotals/>
          </cx:layoutPr>
        </cx:series>
      </cx:plotAreaRegion>
      <cx:axis id="0">
        <cx:catScaling gapWidth="0.5"/>
        <cx:tickLabels/>
        <cx:txPr>
          <a:bodyPr vertOverflow="overflow" horzOverflow="overflow" wrap="square" lIns="0" tIns="0" rIns="0" bIns="0"/>
          <a:lstStyle/>
          <a:p>
            <a:pPr algn="ctr" rtl="0">
              <a:defRPr sz="900" b="0" i="0">
                <a:solidFill>
                  <a:schemeClr val="bg1"/>
                </a:solidFill>
                <a:latin typeface="Aptos Narrow" panose="020B0004020202020204" pitchFamily="34" charset="0"/>
                <a:ea typeface="Aptos Narrow" panose="020B0004020202020204" pitchFamily="34" charset="0"/>
                <a:cs typeface="Aptos Narrow" panose="020B0004020202020204" pitchFamily="34" charset="0"/>
              </a:defRPr>
            </a:pPr>
            <a:endParaRPr lang="en-IN">
              <a:solidFill>
                <a:schemeClr val="bg1"/>
              </a:solidFill>
            </a:endParaRPr>
          </a:p>
        </cx:txPr>
      </cx:axis>
      <cx:axis id="1" hidden="1">
        <cx:valScaling/>
        <cx:tickLabels/>
        <cx:txPr>
          <a:bodyPr vertOverflow="overflow" horzOverflow="overflow" wrap="square" lIns="0" tIns="0" rIns="0" bIns="0"/>
          <a:lstStyle/>
          <a:p>
            <a:pPr algn="ctr" rtl="0">
              <a:defRPr sz="900" b="0" i="0">
                <a:solidFill>
                  <a:schemeClr val="bg1"/>
                </a:solidFill>
                <a:latin typeface="Aptos Narrow" panose="020B0004020202020204" pitchFamily="34" charset="0"/>
                <a:ea typeface="Aptos Narrow" panose="020B0004020202020204" pitchFamily="34" charset="0"/>
                <a:cs typeface="Aptos Narrow" panose="020B0004020202020204" pitchFamily="34" charset="0"/>
              </a:defRPr>
            </a:pPr>
            <a:endParaRPr lang="en-IN">
              <a:solidFill>
                <a:schemeClr val="bg1"/>
              </a:solidFill>
            </a:endParaRPr>
          </a:p>
        </cx:txPr>
      </cx:axis>
    </cx:plotArea>
  </cx:chart>
  <cx:spPr>
    <a:noFill/>
    <a:ln>
      <a:noFill/>
    </a:ln>
  </cx:spPr>
  <cx:fmtOvrs>
    <cx:fmtOvr idx="0">
      <cx:spPr>
        <a:solidFill>
          <a:srgbClr val="00B050"/>
        </a:solidFill>
      </cx:spPr>
    </cx:fmtOvr>
    <cx:fmtOvr idx="1">
      <cx:spPr>
        <a:solidFill>
          <a:srgbClr val="FF3300"/>
        </a:solidFill>
      </cx:spPr>
    </cx:fmtOvr>
    <cx:fmtOvr idx="2">
      <cx:spPr>
        <a:solidFill>
          <a:schemeClr val="bg1">
            <a:lumMod val="95000"/>
          </a:schemeClr>
        </a:solidFill>
      </cx:spPr>
    </cx:fmtOvr>
  </cx:fmtOvrs>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124097</xdr:colOff>
      <xdr:row>0</xdr:row>
      <xdr:rowOff>44215</xdr:rowOff>
    </xdr:from>
    <xdr:to>
      <xdr:col>33</xdr:col>
      <xdr:colOff>83736</xdr:colOff>
      <xdr:row>3</xdr:row>
      <xdr:rowOff>83737</xdr:rowOff>
    </xdr:to>
    <mc:AlternateContent xmlns:mc="http://schemas.openxmlformats.org/markup-compatibility/2006" xmlns:a14="http://schemas.microsoft.com/office/drawing/2010/main">
      <mc:Choice Requires="a14">
        <xdr:graphicFrame macro="">
          <xdr:nvGraphicFramePr>
            <xdr:cNvPr id="2" name="Month Name">
              <a:extLst>
                <a:ext uri="{FF2B5EF4-FFF2-40B4-BE49-F238E27FC236}">
                  <a16:creationId xmlns:a16="http://schemas.microsoft.com/office/drawing/2014/main" id="{91332473-25DE-4ACE-BE63-7C48DEAEDD7B}"/>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124097" y="44215"/>
              <a:ext cx="14747463" cy="5921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91440</xdr:colOff>
      <xdr:row>8</xdr:row>
      <xdr:rowOff>60960</xdr:rowOff>
    </xdr:from>
    <xdr:to>
      <xdr:col>18</xdr:col>
      <xdr:colOff>167640</xdr:colOff>
      <xdr:row>11</xdr:row>
      <xdr:rowOff>106680</xdr:rowOff>
    </xdr:to>
    <xdr:sp macro="" textlink="Calculations!G19">
      <xdr:nvSpPr>
        <xdr:cNvPr id="3" name="TextBox 2">
          <a:extLst>
            <a:ext uri="{FF2B5EF4-FFF2-40B4-BE49-F238E27FC236}">
              <a16:creationId xmlns:a16="http://schemas.microsoft.com/office/drawing/2014/main" id="{6AE91258-4D1E-9EC2-B77F-59FE0957DCD9}"/>
            </a:ext>
          </a:extLst>
        </xdr:cNvPr>
        <xdr:cNvSpPr txBox="1"/>
      </xdr:nvSpPr>
      <xdr:spPr>
        <a:xfrm>
          <a:off x="8229600" y="1341120"/>
          <a:ext cx="990600" cy="594360"/>
        </a:xfrm>
        <a:prstGeom prst="rect">
          <a:avLst/>
        </a:prstGeom>
        <a:solidFill>
          <a:schemeClr val="bg1">
            <a:lumMod val="85000"/>
          </a:schemeClr>
        </a:solidFill>
        <a:ln w="9525" cmpd="sng">
          <a:noFill/>
        </a:ln>
      </xdr:spPr>
      <xdr:style>
        <a:lnRef idx="0">
          <a:scrgbClr r="0" g="0" b="0"/>
        </a:lnRef>
        <a:fillRef idx="1001">
          <a:schemeClr val="lt1"/>
        </a:fillRef>
        <a:effectRef idx="0">
          <a:scrgbClr r="0" g="0" b="0"/>
        </a:effectRef>
        <a:fontRef idx="minor">
          <a:schemeClr val="dk1"/>
        </a:fontRef>
      </xdr:style>
      <xdr:txBody>
        <a:bodyPr vertOverflow="clip" horzOverflow="clip" wrap="square" rtlCol="0" anchor="ctr"/>
        <a:lstStyle/>
        <a:p>
          <a:pPr algn="ctr"/>
          <a:fld id="{245457BC-E8BD-4318-BDCE-16299F9699B1}" type="TxLink">
            <a:rPr lang="en-US" sz="2800" b="1" i="0" u="none" strike="noStrike">
              <a:solidFill>
                <a:srgbClr val="000000"/>
              </a:solidFill>
              <a:latin typeface="Aptos Narrow"/>
            </a:rPr>
            <a:pPr algn="ctr"/>
            <a:t>70%</a:t>
          </a:fld>
          <a:endParaRPr lang="en-US" sz="2800" b="1"/>
        </a:p>
      </xdr:txBody>
    </xdr:sp>
    <xdr:clientData/>
  </xdr:twoCellAnchor>
  <xdr:twoCellAnchor>
    <xdr:from>
      <xdr:col>6</xdr:col>
      <xdr:colOff>594360</xdr:colOff>
      <xdr:row>14</xdr:row>
      <xdr:rowOff>1675</xdr:rowOff>
    </xdr:from>
    <xdr:to>
      <xdr:col>28</xdr:col>
      <xdr:colOff>129540</xdr:colOff>
      <xdr:row>20</xdr:row>
      <xdr:rowOff>86834</xdr:rowOff>
    </xdr:to>
    <xdr:graphicFrame macro="">
      <xdr:nvGraphicFramePr>
        <xdr:cNvPr id="4" name="Chart 3">
          <a:extLst>
            <a:ext uri="{FF2B5EF4-FFF2-40B4-BE49-F238E27FC236}">
              <a16:creationId xmlns:a16="http://schemas.microsoft.com/office/drawing/2014/main" id="{4A7C9061-112A-4953-AEF0-A93A1F0D51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339132</xdr:colOff>
      <xdr:row>22</xdr:row>
      <xdr:rowOff>86082</xdr:rowOff>
    </xdr:from>
    <xdr:to>
      <xdr:col>29</xdr:col>
      <xdr:colOff>148632</xdr:colOff>
      <xdr:row>31</xdr:row>
      <xdr:rowOff>16162</xdr:rowOff>
    </xdr:to>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47734ECD-6064-4790-97CE-B6216E1A91C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290352" y="3926562"/>
              <a:ext cx="6233160" cy="15760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HP" refreshedDate="46002.089712152774" backgroundQuery="1" createdVersion="3" refreshedVersion="8" minRefreshableVersion="3" recordCount="0" tupleCache="1" supportSubquery="1" supportAdvancedDrill="1" xr:uid="{84790C78-F95D-4ADF-A9E1-19DCCD9A34B6}">
  <cacheSource type="external" connectionId="7"/>
  <cacheFields count="5">
    <cacheField name="[Calendar].[Month Name].[Month Name]" caption="Month Name" numFmtId="0" hierarchy="2" level="1">
      <sharedItems count="12">
        <s v="[Calendar].[Month Name].&amp;[Jan]" c="Jan"/>
        <s v="[Calendar].[Month Name].&amp;[Feb]" c="Feb"/>
        <s v="[Calendar].[Month Name].&amp;[Mar]" c="Mar"/>
        <s v="[Calendar].[Month Name].&amp;[Apr]" c="Apr"/>
        <s v="[Calendar].[Month Name].&amp;[May]" c="May"/>
        <s v="[Calendar].[Month Name].&amp;[Jun]" c="Jun"/>
        <s v="[Calendar].[Month Name].&amp;[Jul]" c="Jul"/>
        <s v="[Calendar].[Month Name].&amp;[Aug]" c="Aug"/>
        <s v="[Calendar].[Month Name].&amp;[Sep]" c="Sep"/>
        <s v="[Calendar].[Month Name].&amp;[Oct]" c="Oct"/>
        <s v="[Calendar].[Month Name].&amp;[Nov]" c="Nov"/>
        <s v="[Calendar].[Month Name].&amp;[Dec]" c="Dec"/>
      </sharedItems>
    </cacheField>
    <cacheField name="[CoA].[Sub-Category].[Sub-Category]" caption="Sub-Category" numFmtId="0" hierarchy="7" level="1">
      <sharedItems count="2">
        <s v="[CoA].[Sub-Category].&amp;[Current Liabilities]" c="Current Liabilities"/>
        <s v="[CoA].[Sub-Category].&amp;[Current Assets]" c="Current Assets"/>
      </sharedItems>
    </cacheField>
    <cacheField name="[CoA].[Account].[Account]" caption="Account" numFmtId="0" hierarchy="4" level="1">
      <sharedItems count="1">
        <s v="[CoA].[Account].&amp;[Long Term Loans]" c="Long Term Loans"/>
      </sharedItems>
    </cacheField>
    <cacheField name="[CoA].[Category].[Category]" caption="Category" numFmtId="0" hierarchy="6" level="1">
      <sharedItems count="3">
        <s v="[CoA].[Category].&amp;[Equity]" c="Equity"/>
        <s v="[CoA].[Category].&amp;[Liabilities]" c="Liabilities"/>
        <s v="[CoA].[Category].&amp;[Assets]" c="Assets"/>
      </sharedItems>
    </cacheField>
    <cacheField name="[Measures].[MeasuresLevel]" caption="MeasuresLevel" numFmtId="0" hierarchy="15">
      <sharedItems count="2">
        <s v="[Measures].[Previous]" c="Previous"/>
        <s v="[Measures].[Current]" c="Current"/>
      </sharedItems>
    </cacheField>
  </cacheFields>
  <cacheHierarchies count="29">
    <cacheHierarchy uniqueName="[Calendar].[Date]" caption="Date" attribute="1" time="1" defaultMemberUniqueName="[Calendar].[Date].[All]" allUniqueName="[Calendar].[Date].[All]" dimensionUniqueName="[Calendar]" displayFolder="" count="2" memberValueDatatype="7" unbalanced="0"/>
    <cacheHierarchy uniqueName="[Calendar].[Month]" caption="Month" attribute="1" defaultMemberUniqueName="[Calendar].[Month].[All]" allUniqueName="[Calendar].[Month].[All]" dimensionUniqueName="[Calendar]" displayFolder="" count="2" memberValueDatatype="20" unbalanced="0"/>
    <cacheHierarchy uniqueName="[Calendar].[Month Name]" caption="Month Name" attribute="1" defaultMemberUniqueName="[Calendar].[Month Name].[All]" allUniqueName="[Calendar].[Month Name].[All]" allCaption="All" dimensionUniqueName="[Calendar]" displayFolder="" count="2" memberValueDatatype="130" unbalanced="0">
      <fieldsUsage count="2">
        <fieldUsage x="-1"/>
        <fieldUsage x="0"/>
      </fieldsUsage>
    </cacheHierarchy>
    <cacheHierarchy uniqueName="[CoA].[Account Code]" caption="Account Code" attribute="1" defaultMemberUniqueName="[CoA].[Account Code].[All]" allUniqueName="[CoA].[Account Code].[All]" dimensionUniqueName="[CoA]" displayFolder="" count="2" memberValueDatatype="20" unbalanced="0"/>
    <cacheHierarchy uniqueName="[CoA].[Account]" caption="Account" attribute="1" defaultMemberUniqueName="[CoA].[Account].[All]" allUniqueName="[CoA].[Account].[All]" dimensionUniqueName="[CoA]" displayFolder="" count="2" memberValueDatatype="130" unbalanced="0">
      <fieldsUsage count="2">
        <fieldUsage x="-1"/>
        <fieldUsage x="2"/>
      </fieldsUsage>
    </cacheHierarchy>
    <cacheHierarchy uniqueName="[CoA].[IS or BS]" caption="IS or BS" attribute="1" defaultMemberUniqueName="[CoA].[IS or BS].[All]" allUniqueName="[CoA].[IS or BS].[All]" dimensionUniqueName="[CoA]" displayFolder="" count="2" memberValueDatatype="130" unbalanced="0"/>
    <cacheHierarchy uniqueName="[CoA].[Category]" caption="Category" attribute="1" defaultMemberUniqueName="[CoA].[Category].[All]" allUniqueName="[CoA].[Category].[All]" dimensionUniqueName="[CoA]" displayFolder="" count="2" memberValueDatatype="130" unbalanced="0">
      <fieldsUsage count="2">
        <fieldUsage x="-1"/>
        <fieldUsage x="3"/>
      </fieldsUsage>
    </cacheHierarchy>
    <cacheHierarchy uniqueName="[CoA].[Sub-Category]" caption="Sub-Category" attribute="1" defaultMemberUniqueName="[CoA].[Sub-Category].[All]" allUniqueName="[CoA].[Sub-Category].[All]" dimensionUniqueName="[CoA]" displayFolder="" count="2" memberValueDatatype="130" unbalanced="0">
      <fieldsUsage count="2">
        <fieldUsage x="-1"/>
        <fieldUsage x="1"/>
      </fieldsUsage>
    </cacheHierarchy>
    <cacheHierarchy uniqueName="[CoA].[Debit or Credit]" caption="Debit or Credit" attribute="1" defaultMemberUniqueName="[CoA].[Debit or Credit].[All]" allUniqueName="[CoA].[Debit or Credit].[All]" dimensionUniqueName="[CoA]" displayFolder="" count="2" memberValueDatatype="130" unbalanced="0"/>
    <cacheHierarchy uniqueName="[CoA 1].[Account Code]" caption="Account Code" attribute="1" defaultMemberUniqueName="[CoA 1].[Account Code].[All]" allUniqueName="[CoA 1].[Account Code].[All]" dimensionUniqueName="[CoA 1]" displayFolder="" count="2" memberValueDatatype="20" unbalanced="0"/>
    <cacheHierarchy uniqueName="[CoA 1].[Account]" caption="Account" attribute="1" defaultMemberUniqueName="[CoA 1].[Account].[All]" allUniqueName="[CoA 1].[Account].[All]" dimensionUniqueName="[CoA 1]" displayFolder="" count="2" memberValueDatatype="130" unbalanced="0"/>
    <cacheHierarchy uniqueName="[CoA 1].[IS or BS]" caption="IS or BS" attribute="1" defaultMemberUniqueName="[CoA 1].[IS or BS].[All]" allUniqueName="[CoA 1].[IS or BS].[All]" dimensionUniqueName="[CoA 1]" displayFolder="" count="2" memberValueDatatype="130" unbalanced="0"/>
    <cacheHierarchy uniqueName="[CoA 1].[Category]" caption="Category" attribute="1" defaultMemberUniqueName="[CoA 1].[Category].[All]" allUniqueName="[CoA 1].[Category].[All]" dimensionUniqueName="[CoA 1]" displayFolder="" count="2" memberValueDatatype="130" unbalanced="0"/>
    <cacheHierarchy uniqueName="[CoA 1].[Sub-Category]" caption="Sub-Category" attribute="1" defaultMemberUniqueName="[CoA 1].[Sub-Category].[All]" allUniqueName="[CoA 1].[Sub-Category].[All]" dimensionUniqueName="[CoA 1]" displayFolder="" count="2" memberValueDatatype="130" unbalanced="0"/>
    <cacheHierarchy uniqueName="[CoA 1].[Debit or Credit]" caption="Debit or Credit" attribute="1" defaultMemberUniqueName="[CoA 1].[Debit or Credit].[All]" allUniqueName="[CoA 1].[Debit or Credit].[All]" dimensionUniqueName="[CoA 1]" displayFolder="" count="2" memberValueDatatype="130" unbalanced="0"/>
    <cacheHierarchy uniqueName="[Measures]" caption="Measures" attribute="1" keyAttribute="1" defaultMemberUniqueName="[Measures].[__No measures defined]" dimensionUniqueName="[Measures]" displayFolder="" measures="1" count="1" memberValueDatatype="130" unbalanced="0">
      <fieldsUsage count="1">
        <fieldUsage x="4"/>
      </fieldsUsage>
    </cacheHierarchy>
    <cacheHierarchy uniqueName="[TB].[Account Code]" caption="Account Code" attribute="1" defaultMemberUniqueName="[TB].[Account Code].[All]" allUniqueName="[TB].[Account Code].[All]" dimensionUniqueName="[TB]" displayFolder="" count="2" memberValueDatatype="20" unbalanced="0"/>
    <cacheHierarchy uniqueName="[TB].[Account]" caption="Account" attribute="1" defaultMemberUniqueName="[TB].[Account].[All]" allUniqueName="[TB].[Account].[All]" dimensionUniqueName="[TB]" displayFolder="" count="2" memberValueDatatype="130" unbalanced="0"/>
    <cacheHierarchy uniqueName="[TB].[Date]" caption="Date" attribute="1" time="1" defaultMemberUniqueName="[TB].[Date].[All]" allUniqueName="[TB].[Date].[All]" dimensionUniqueName="[TB]" displayFolder="" count="2" memberValueDatatype="7" unbalanced="0"/>
    <cacheHierarchy uniqueName="[TB].[Amount]" caption="Amount" attribute="1" defaultMemberUniqueName="[TB].[Amount].[All]" allUniqueName="[TB].[Amount].[All]" dimensionUniqueName="[TB]" displayFolder="" count="2" memberValueDatatype="5" unbalanced="0"/>
    <cacheHierarchy uniqueName="[Measures].[Sum of Amount]" caption="Sum of Amount" measure="1" displayFolder="" measureGroup="TB" count="0">
      <extLst>
        <ext xmlns:x15="http://schemas.microsoft.com/office/spreadsheetml/2010/11/main" uri="{B97F6D7D-B522-45F9-BDA1-12C45D357490}">
          <x15:cacheHierarchy aggregatedColumn="19"/>
        </ext>
      </extLst>
    </cacheHierarchy>
    <cacheHierarchy uniqueName="[Measures].[Current]" caption="Current" measure="1" displayFolder="" measureGroup="TB" count="0"/>
    <cacheHierarchy uniqueName="[Measures].[Previous]" caption="Previous" measure="1" displayFolder="" measureGroup="TB" count="0"/>
    <cacheHierarchy uniqueName="[Measures].[Variance]" caption="Variance" measure="1" displayFolder="" measureGroup="TB" count="0"/>
    <cacheHierarchy uniqueName="[Measures].[__XL_Count CoA]" caption="__XL_Count CoA" measure="1" displayFolder="" measureGroup="CoA" count="0" hidden="1"/>
    <cacheHierarchy uniqueName="[Measures].[__XL_Count TB]" caption="__XL_Count TB" measure="1" displayFolder="" measureGroup="TB" count="0" hidden="1"/>
    <cacheHierarchy uniqueName="[Measures].[__XL_Count Calendar]" caption="__XL_Count Calendar" measure="1" displayFolder="" measureGroup="Calendar" count="0" hidden="1"/>
    <cacheHierarchy uniqueName="[Measures].[__XL_Count CoA 1]" caption="__XL_Count CoA 1" measure="1" displayFolder="" measureGroup="CoA 1" count="0" hidden="1"/>
    <cacheHierarchy uniqueName="[Measures].[__No measures defined]" caption="__No measures defined" measure="1" displayFolder="" count="0" hidden="1"/>
  </cacheHierarchies>
  <kpis count="0"/>
  <tupleCache>
    <entries count="141">
      <n v="5445812.6460999995" in="0">
        <tpls c="3">
          <tpl hier="2" item="1"/>
          <tpl fld="1" item="1"/>
          <tpl fld="4" item="0"/>
        </tpls>
      </n>
      <n v="-473566.97499999998" in="0">
        <tpls c="3">
          <tpl hier="2" item="1"/>
          <tpl fld="1" item="0"/>
          <tpl fld="4" item="0"/>
        </tpls>
      </n>
      <n v="7735812.6460999995" in="0">
        <tpls c="3">
          <tpl hier="2" item="1"/>
          <tpl fld="3" item="2"/>
          <tpl fld="4" item="0"/>
        </tpls>
      </n>
      <n v="-3539483.2935000001" in="0">
        <tpls c="3">
          <tpl hier="2" item="1"/>
          <tpl fld="3" item="1"/>
          <tpl fld="4" item="0"/>
        </tpls>
      </n>
      <n v="5450353.3709000004" in="0">
        <tpls c="3">
          <tpl hier="2" item="1"/>
          <tpl fld="1" item="1"/>
          <tpl fld="4" item="1"/>
        </tpls>
      </n>
      <n v="-397277.67859999998" in="0">
        <tpls c="3">
          <tpl hier="2" item="1"/>
          <tpl fld="1" item="0"/>
          <tpl fld="4" item="1"/>
        </tpls>
      </n>
      <n v="-3411051.3915999997" in="0">
        <tpls c="3">
          <tpl hier="2" item="1"/>
          <tpl fld="3" item="1"/>
          <tpl fld="4" item="1"/>
        </tpls>
      </n>
      <n v="7694103.3708999995" in="0">
        <tpls c="3">
          <tpl hier="2" item="1"/>
          <tpl fld="3" item="2"/>
          <tpl fld="4" item="1"/>
        </tpls>
      </n>
      <n v="-3013773.713" in="0">
        <tpls c="3">
          <tpl hier="2" item="1"/>
          <tpl fld="2" item="0"/>
          <tpl fld="4" item="1"/>
        </tpls>
      </n>
      <n v="-382928.92259999999" in="0">
        <tpls c="3">
          <tpl fld="0" item="0"/>
          <tpl fld="1" item="0"/>
          <tpl fld="4" item="1"/>
        </tpls>
      </n>
      <n v="4974175.7691000002" in="0">
        <tpls c="3">
          <tpl fld="0" item="0"/>
          <tpl fld="1" item="1"/>
          <tpl fld="4" item="1"/>
        </tpls>
      </n>
      <n v="5118567.9528000001" in="0">
        <tpls c="3">
          <tpl fld="0" item="2"/>
          <tpl fld="1" item="1"/>
          <tpl fld="4" item="1"/>
        </tpls>
      </n>
      <n v="5450353.3709000004" in="0">
        <tpls c="3">
          <tpl fld="0" item="11"/>
          <tpl fld="1" item="1"/>
          <tpl fld="4" item="1"/>
        </tpls>
      </n>
      <n v="5445812.6460999995" in="0">
        <tpls c="3">
          <tpl fld="0" item="10"/>
          <tpl fld="1" item="1"/>
          <tpl fld="4" item="1"/>
        </tpls>
      </n>
      <n v="5313220.8684999999" in="0">
        <tpls c="3">
          <tpl fld="0" item="9"/>
          <tpl fld="1" item="1"/>
          <tpl fld="4" item="1"/>
        </tpls>
      </n>
      <n v="5243795.2039000001" in="0">
        <tpls c="3">
          <tpl fld="0" item="8"/>
          <tpl fld="1" item="1"/>
          <tpl fld="4" item="1"/>
        </tpls>
      </n>
      <n v="5219927.0553000001" in="0">
        <tpls c="3">
          <tpl fld="0" item="7"/>
          <tpl fld="1" item="1"/>
          <tpl fld="4" item="1"/>
        </tpls>
      </n>
      <n v="5223004.2294999994" in="0">
        <tpls c="3">
          <tpl fld="0" item="6"/>
          <tpl fld="1" item="1"/>
          <tpl fld="4" item="1"/>
        </tpls>
      </n>
      <n v="5125262.5326000005" in="0">
        <tpls c="3">
          <tpl fld="0" item="5"/>
          <tpl fld="1" item="1"/>
          <tpl fld="4" item="1"/>
        </tpls>
      </n>
      <n v="5384664.2093000002" in="0">
        <tpls c="3">
          <tpl fld="0" item="4"/>
          <tpl fld="1" item="1"/>
          <tpl fld="4" item="1"/>
        </tpls>
      </n>
      <n v="5141024.2864999995" in="0">
        <tpls c="3">
          <tpl fld="0" item="3"/>
          <tpl fld="1" item="1"/>
          <tpl fld="4" item="1"/>
        </tpls>
      </n>
      <n v="5176953.3931999998" in="0">
        <tpls c="3">
          <tpl fld="0" item="1"/>
          <tpl fld="1" item="1"/>
          <tpl fld="4" item="1"/>
        </tpls>
      </n>
      <n v="-472533.62030000001" in="0">
        <tpls c="3">
          <tpl fld="0" item="1"/>
          <tpl fld="1" item="0"/>
          <tpl fld="4" item="1"/>
        </tpls>
      </n>
      <n v="-397277.67859999998" in="0">
        <tpls c="3">
          <tpl fld="0" item="11"/>
          <tpl fld="1" item="0"/>
          <tpl fld="4" item="1"/>
        </tpls>
      </n>
      <n v="-473566.97499999998" in="0">
        <tpls c="3">
          <tpl fld="0" item="10"/>
          <tpl fld="1" item="0"/>
          <tpl fld="4" item="1"/>
        </tpls>
      </n>
      <n v="-445365.50750000001" in="0">
        <tpls c="3">
          <tpl fld="0" item="9"/>
          <tpl fld="1" item="0"/>
          <tpl fld="4" item="1"/>
        </tpls>
      </n>
      <n v="-463111.07939999999" in="0">
        <tpls c="3">
          <tpl fld="0" item="8"/>
          <tpl fld="1" item="0"/>
          <tpl fld="4" item="1"/>
        </tpls>
      </n>
      <n v="-446074.85680000001" in="0">
        <tpls c="3">
          <tpl fld="0" item="7"/>
          <tpl fld="1" item="0"/>
          <tpl fld="4" item="1"/>
        </tpls>
      </n>
      <n v="-410508.49400000001" in="0">
        <tpls c="3">
          <tpl fld="0" item="6"/>
          <tpl fld="1" item="0"/>
          <tpl fld="4" item="1"/>
        </tpls>
      </n>
      <n v="-397386.29029999999" in="0">
        <tpls c="3">
          <tpl fld="0" item="5"/>
          <tpl fld="1" item="0"/>
          <tpl fld="4" item="1"/>
        </tpls>
      </n>
      <n v="-477453.78810000001" in="0">
        <tpls c="3">
          <tpl fld="0" item="4"/>
          <tpl fld="1" item="0"/>
          <tpl fld="4" item="1"/>
        </tpls>
      </n>
      <n v="-576735.31720000005" in="0">
        <tpls c="3">
          <tpl fld="0" item="3"/>
          <tpl fld="1" item="0"/>
          <tpl fld="4" item="1"/>
        </tpls>
      </n>
      <n v="-486003.7965" in="0">
        <tpls c="3">
          <tpl fld="0" item="2"/>
          <tpl fld="1" item="0"/>
          <tpl fld="4" item="1"/>
        </tpls>
      </n>
      <n v="5223004.2294999994" in="0">
        <tpls c="3">
          <tpl hier="2" item="2"/>
          <tpl fld="1" item="1"/>
          <tpl fld="4" item="0"/>
        </tpls>
      </n>
      <n v="-410508.49400000001" in="0">
        <tpls c="3">
          <tpl hier="2" item="2"/>
          <tpl fld="1" item="0"/>
          <tpl fld="4" item="0"/>
        </tpls>
      </n>
      <n v="7698004.2294999994" in="0">
        <tpls c="3">
          <tpl hier="2" item="2"/>
          <tpl fld="3" item="2"/>
          <tpl fld="4" item="0"/>
        </tpls>
      </n>
      <n v="-3681353.4824000001" in="0">
        <tpls c="3">
          <tpl hier="2" item="2"/>
          <tpl fld="3" item="1"/>
          <tpl fld="4" item="0"/>
        </tpls>
      </n>
      <n v="5219927.0553000001" in="0">
        <tpls c="3">
          <tpl hier="2" item="2"/>
          <tpl fld="1" item="1"/>
          <tpl fld="4" item="1"/>
        </tpls>
      </n>
      <n v="-446074.85680000001" in="0">
        <tpls c="3">
          <tpl hier="2" item="2"/>
          <tpl fld="1" item="0"/>
          <tpl fld="4" item="1"/>
        </tpls>
      </n>
      <n v="-3666228.8178000003" in="0">
        <tpls c="3">
          <tpl hier="2" item="2"/>
          <tpl fld="3" item="1"/>
          <tpl fld="4" item="1"/>
        </tpls>
      </n>
      <n v="7648677.0553000001" in="0">
        <tpls c="3">
          <tpl hier="2" item="2"/>
          <tpl fld="3" item="2"/>
          <tpl fld="4" item="1"/>
        </tpls>
      </n>
      <n v="-3220153.9610000001" in="0">
        <tpls c="3">
          <tpl hier="2" item="2"/>
          <tpl fld="2" item="0"/>
          <tpl fld="4" item="1"/>
        </tpls>
      </n>
      <n v="5219927.0553000001" in="0">
        <tpls c="3">
          <tpl hier="2" item="3"/>
          <tpl fld="1" item="1"/>
          <tpl fld="4" item="0"/>
        </tpls>
      </n>
      <n v="-446074.85680000001" in="0">
        <tpls c="3">
          <tpl hier="2" item="3"/>
          <tpl fld="1" item="0"/>
          <tpl fld="4" item="0"/>
        </tpls>
      </n>
      <n v="7648677.0553000001" in="0">
        <tpls c="3">
          <tpl hier="2" item="3"/>
          <tpl fld="3" item="2"/>
          <tpl fld="4" item="0"/>
        </tpls>
      </n>
      <n v="-3666228.8178000003" in="0">
        <tpls c="3">
          <tpl hier="2" item="3"/>
          <tpl fld="3" item="1"/>
          <tpl fld="4" item="0"/>
        </tpls>
      </n>
      <n v="5243795.2039000001" in="0">
        <tpls c="3">
          <tpl hier="2" item="3"/>
          <tpl fld="1" item="1"/>
          <tpl fld="4" item="1"/>
        </tpls>
      </n>
      <n v="-463111.07939999999" in="0">
        <tpls c="3">
          <tpl hier="2" item="3"/>
          <tpl fld="1" item="0"/>
          <tpl fld="4" item="1"/>
        </tpls>
      </n>
      <n v="-3632214.9515" in="0">
        <tpls c="3">
          <tpl hier="2" item="3"/>
          <tpl fld="3" item="1"/>
          <tpl fld="4" item="1"/>
        </tpls>
      </n>
      <n v="7626295.2039000001" in="0">
        <tpls c="3">
          <tpl hier="2" item="3"/>
          <tpl fld="3" item="2"/>
          <tpl fld="4" item="1"/>
        </tpls>
      </n>
      <n v="-3169103.8720999998" in="0">
        <tpls c="3">
          <tpl hier="2" item="3"/>
          <tpl fld="2" item="0"/>
          <tpl fld="4" item="1"/>
        </tpls>
      </n>
      <n v="5313220.8684999999" in="0">
        <tpls c="3">
          <tpl hier="2" item="4"/>
          <tpl fld="1" item="1"/>
          <tpl fld="4" item="0"/>
        </tpls>
      </n>
      <n v="-445365.50750000001" in="0">
        <tpls c="3">
          <tpl hier="2" item="4"/>
          <tpl fld="1" item="0"/>
          <tpl fld="4" item="0"/>
        </tpls>
      </n>
      <n v="7649470.8684999999" in="0">
        <tpls c="3">
          <tpl hier="2" item="4"/>
          <tpl fld="3" item="2"/>
          <tpl fld="4" item="0"/>
        </tpls>
      </n>
      <n v="-3563057.6858999999" in="0">
        <tpls c="3">
          <tpl hier="2" item="4"/>
          <tpl fld="3" item="1"/>
          <tpl fld="4" item="0"/>
        </tpls>
      </n>
      <n v="5445812.6460999995" in="0">
        <tpls c="3">
          <tpl hier="2" item="4"/>
          <tpl fld="1" item="1"/>
          <tpl fld="4" item="1"/>
        </tpls>
      </n>
      <n v="-473566.97499999998" in="0">
        <tpls c="3">
          <tpl hier="2" item="4"/>
          <tpl fld="1" item="0"/>
          <tpl fld="4" item="1"/>
        </tpls>
      </n>
      <n v="-3539483.2935000001" in="0">
        <tpls c="3">
          <tpl hier="2" item="4"/>
          <tpl fld="3" item="1"/>
          <tpl fld="4" item="1"/>
        </tpls>
      </n>
      <n v="7735812.6460999995" in="0">
        <tpls c="3">
          <tpl hier="2" item="4"/>
          <tpl fld="3" item="2"/>
          <tpl fld="4" item="1"/>
        </tpls>
      </n>
      <n v="-3065916.3185000001" in="0">
        <tpls c="3">
          <tpl hier="2" item="4"/>
          <tpl fld="2" item="0"/>
          <tpl fld="4" item="1"/>
        </tpls>
      </n>
      <n v="5445812.6460999995" in="0">
        <tpls c="3">
          <tpl hier="2" item="5"/>
          <tpl fld="1" item="1"/>
          <tpl fld="4" item="0"/>
        </tpls>
      </n>
      <n v="-473566.97499999998" in="0">
        <tpls c="3">
          <tpl hier="2" item="5"/>
          <tpl fld="1" item="0"/>
          <tpl fld="4" item="0"/>
        </tpls>
      </n>
      <n v="7735812.6460999995" in="0">
        <tpls c="3">
          <tpl hier="2" item="5"/>
          <tpl fld="3" item="2"/>
          <tpl fld="4" item="0"/>
        </tpls>
      </n>
      <n v="-3539483.2935000001" in="0">
        <tpls c="3">
          <tpl hier="2" item="5"/>
          <tpl fld="3" item="1"/>
          <tpl fld="4" item="0"/>
        </tpls>
      </n>
      <n v="5450353.3709000004" in="0">
        <tpls c="3">
          <tpl hier="2" item="5"/>
          <tpl fld="1" item="1"/>
          <tpl fld="4" item="1"/>
        </tpls>
      </n>
      <n v="-397277.67859999998" in="0">
        <tpls c="3">
          <tpl hier="2" item="5"/>
          <tpl fld="1" item="0"/>
          <tpl fld="4" item="1"/>
        </tpls>
      </n>
      <n v="-3411051.3915999997" in="0">
        <tpls c="3">
          <tpl hier="2" item="5"/>
          <tpl fld="3" item="1"/>
          <tpl fld="4" item="1"/>
        </tpls>
      </n>
      <n v="7694103.3708999995" in="0">
        <tpls c="3">
          <tpl hier="2" item="5"/>
          <tpl fld="3" item="2"/>
          <tpl fld="4" item="1"/>
        </tpls>
      </n>
      <n v="-3013773.713" in="0">
        <tpls c="3">
          <tpl hier="2" item="5"/>
          <tpl fld="2" item="0"/>
          <tpl fld="4" item="1"/>
        </tpls>
      </n>
      <n v="5125262.5326000005" in="0">
        <tpls c="3">
          <tpl hier="2" item="6"/>
          <tpl fld="1" item="1"/>
          <tpl fld="4" item="0"/>
        </tpls>
      </n>
      <n v="-397386.29029999999" in="0">
        <tpls c="3">
          <tpl hier="2" item="6"/>
          <tpl fld="1" item="0"/>
          <tpl fld="4" item="0"/>
        </tpls>
      </n>
      <n v="7646512.5326000005" in="0">
        <tpls c="3">
          <tpl hier="2" item="6"/>
          <tpl fld="3" item="2"/>
          <tpl fld="4" item="0"/>
        </tpls>
      </n>
      <n v="-3718565.7702000001" in="0">
        <tpls c="3">
          <tpl hier="2" item="6"/>
          <tpl fld="3" item="1"/>
          <tpl fld="4" item="0"/>
        </tpls>
      </n>
      <n v="5223004.2294999994" in="0">
        <tpls c="3">
          <tpl hier="2" item="6"/>
          <tpl fld="1" item="1"/>
          <tpl fld="4" item="1"/>
        </tpls>
      </n>
      <n v="-410508.49400000001" in="0">
        <tpls c="3">
          <tpl hier="2" item="6"/>
          <tpl fld="1" item="0"/>
          <tpl fld="4" item="1"/>
        </tpls>
      </n>
      <n v="-3681353.4824000001" in="0">
        <tpls c="3">
          <tpl hier="2" item="6"/>
          <tpl fld="3" item="1"/>
          <tpl fld="4" item="1"/>
        </tpls>
      </n>
      <n v="7698004.2294999994" in="0">
        <tpls c="3">
          <tpl hier="2" item="6"/>
          <tpl fld="3" item="2"/>
          <tpl fld="4" item="1"/>
        </tpls>
      </n>
      <n v="-3270844.9884000001" in="0">
        <tpls c="3">
          <tpl hier="2" item="6"/>
          <tpl fld="2" item="0"/>
          <tpl fld="4" item="1"/>
        </tpls>
      </n>
      <n v="5384664.2093000002" in="0">
        <tpls c="3">
          <tpl hier="2" item="7"/>
          <tpl fld="1" item="1"/>
          <tpl fld="4" item="0"/>
        </tpls>
      </n>
      <n v="-477453.78810000001" in="0">
        <tpls c="3">
          <tpl hier="2" item="7"/>
          <tpl fld="1" item="0"/>
          <tpl fld="4" item="0"/>
        </tpls>
      </n>
      <n v="7727164.2093000002" in="0">
        <tpls c="3">
          <tpl hier="2" item="7"/>
          <tpl fld="3" item="2"/>
          <tpl fld="4" item="0"/>
        </tpls>
      </n>
      <n v="-3848613.7311999998" in="0">
        <tpls c="3">
          <tpl hier="2" item="7"/>
          <tpl fld="3" item="1"/>
          <tpl fld="4" item="0"/>
        </tpls>
      </n>
      <n v="5125262.5326000005" in="0">
        <tpls c="3">
          <tpl hier="2" item="7"/>
          <tpl fld="1" item="1"/>
          <tpl fld="4" item="1"/>
        </tpls>
      </n>
      <n v="-397386.29029999999" in="0">
        <tpls c="3">
          <tpl hier="2" item="7"/>
          <tpl fld="1" item="0"/>
          <tpl fld="4" item="1"/>
        </tpls>
      </n>
      <n v="-3718565.7702000001" in="0">
        <tpls c="3">
          <tpl hier="2" item="7"/>
          <tpl fld="3" item="1"/>
          <tpl fld="4" item="1"/>
        </tpls>
      </n>
      <n v="7646512.5326000005" in="0">
        <tpls c="3">
          <tpl hier="2" item="7"/>
          <tpl fld="3" item="2"/>
          <tpl fld="4" item="1"/>
        </tpls>
      </n>
      <n v="-3321179.4799000002" in="0">
        <tpls c="3">
          <tpl hier="2" item="7"/>
          <tpl fld="2" item="0"/>
          <tpl fld="4" item="1"/>
        </tpls>
      </n>
      <n v="5118567.9528000001" in="0">
        <tpls c="3">
          <tpl hier="2" item="8"/>
          <tpl fld="1" item="1"/>
          <tpl fld="4" item="0"/>
        </tpls>
      </n>
      <n v="-486003.7965" in="0">
        <tpls c="3">
          <tpl hier="2" item="8"/>
          <tpl fld="1" item="0"/>
          <tpl fld="4" item="0"/>
        </tpls>
      </n>
      <n v="7546067.9528000001" in="0">
        <tpls c="3">
          <tpl hier="2" item="8"/>
          <tpl fld="3" item="2"/>
          <tpl fld="4" item="0"/>
        </tpls>
      </n>
      <n v="-3652070.9092000001" in="0">
        <tpls c="3">
          <tpl hier="2" item="8"/>
          <tpl fld="3" item="1"/>
          <tpl fld="4" item="0"/>
        </tpls>
      </n>
      <n v="5141024.2864999995" in="0">
        <tpls c="3">
          <tpl hier="2" item="8"/>
          <tpl fld="1" item="1"/>
          <tpl fld="4" item="1"/>
        </tpls>
      </n>
      <n v="-576735.31720000005" in="0">
        <tpls c="3">
          <tpl hier="2" item="8"/>
          <tpl fld="1" item="0"/>
          <tpl fld="4" item="1"/>
        </tpls>
      </n>
      <n v="-3697524.1851999997" in="0">
        <tpls c="3">
          <tpl hier="2" item="8"/>
          <tpl fld="3" item="1"/>
          <tpl fld="4" item="1"/>
        </tpls>
      </n>
      <n v="7526024.2864999995" in="0">
        <tpls c="3">
          <tpl hier="2" item="8"/>
          <tpl fld="3" item="2"/>
          <tpl fld="4" item="1"/>
        </tpls>
      </n>
      <n v="-3120788.8679999998" in="0">
        <tpls c="3">
          <tpl hier="2" item="8"/>
          <tpl fld="2" item="0"/>
          <tpl fld="4" item="1"/>
        </tpls>
      </n>
      <n v="5243795.2039000001" in="0">
        <tpls c="3">
          <tpl hier="2" item="9"/>
          <tpl fld="1" item="1"/>
          <tpl fld="4" item="0"/>
        </tpls>
      </n>
      <n v="-463111.07939999999" in="0">
        <tpls c="3">
          <tpl hier="2" item="9"/>
          <tpl fld="1" item="0"/>
          <tpl fld="4" item="0"/>
        </tpls>
      </n>
      <n v="7626295.2039000001" in="0">
        <tpls c="3">
          <tpl hier="2" item="9"/>
          <tpl fld="3" item="2"/>
          <tpl fld="4" item="0"/>
        </tpls>
      </n>
      <n v="-3632214.9515" in="0">
        <tpls c="3">
          <tpl hier="2" item="9"/>
          <tpl fld="3" item="1"/>
          <tpl fld="4" item="0"/>
        </tpls>
      </n>
      <n v="5313220.8684999999" in="0">
        <tpls c="3">
          <tpl hier="2" item="9"/>
          <tpl fld="1" item="1"/>
          <tpl fld="4" item="1"/>
        </tpls>
      </n>
      <n v="-445365.50750000001" in="0">
        <tpls c="3">
          <tpl hier="2" item="9"/>
          <tpl fld="1" item="0"/>
          <tpl fld="4" item="1"/>
        </tpls>
      </n>
      <n v="-3563057.6858999999" in="0">
        <tpls c="3">
          <tpl hier="2" item="9"/>
          <tpl fld="3" item="1"/>
          <tpl fld="4" item="1"/>
        </tpls>
      </n>
      <n v="7649470.8684999999" in="0">
        <tpls c="3">
          <tpl hier="2" item="9"/>
          <tpl fld="3" item="2"/>
          <tpl fld="4" item="1"/>
        </tpls>
      </n>
      <n v="-3117692.1784000001" in="0">
        <tpls c="3">
          <tpl hier="2" item="9"/>
          <tpl fld="2" item="0"/>
          <tpl fld="4" item="1"/>
        </tpls>
      </n>
      <n v="-576735.31720000005" in="0">
        <tpls c="3">
          <tpl hier="2" item="10"/>
          <tpl fld="1" item="0"/>
          <tpl fld="4" item="0"/>
        </tpls>
      </n>
      <n v="5384664.2093000002" in="0">
        <tpls c="3">
          <tpl hier="2" item="10"/>
          <tpl fld="1" item="1"/>
          <tpl fld="4" item="1"/>
        </tpls>
      </n>
      <n v="-477453.78810000001" in="0">
        <tpls c="3">
          <tpl hier="2" item="10"/>
          <tpl fld="1" item="0"/>
          <tpl fld="4" item="1"/>
        </tpls>
      </n>
      <n v="5141024.2864999995" in="0">
        <tpls c="3">
          <tpl hier="2" item="10"/>
          <tpl fld="1" item="1"/>
          <tpl fld="4" item="0"/>
        </tpls>
      </n>
      <n v="7526024.2864999995" in="0">
        <tpls c="3">
          <tpl hier="2" item="10"/>
          <tpl fld="3" item="2"/>
          <tpl fld="4" item="0"/>
        </tpls>
      </n>
      <n v="-3697524.1851999997" in="0">
        <tpls c="3">
          <tpl hier="2" item="10"/>
          <tpl fld="3" item="1"/>
          <tpl fld="4" item="0"/>
        </tpls>
      </n>
      <n v="-3848613.7311999998" in="0">
        <tpls c="3">
          <tpl hier="2" item="10"/>
          <tpl fld="3" item="1"/>
          <tpl fld="4" item="1"/>
        </tpls>
      </n>
      <n v="7727164.2093000002" in="0">
        <tpls c="3">
          <tpl hier="2" item="10"/>
          <tpl fld="3" item="2"/>
          <tpl fld="4" item="1"/>
        </tpls>
      </n>
      <n v="-3371159.9430999998" in="0">
        <tpls c="3">
          <tpl hier="2" item="10"/>
          <tpl fld="2" item="0"/>
          <tpl fld="4" item="1"/>
        </tpls>
      </n>
      <n v="-382928.92259999999" in="0">
        <tpls c="3">
          <tpl hier="2" item="11"/>
          <tpl fld="1" item="0"/>
          <tpl fld="4" item="0"/>
        </tpls>
      </n>
      <n v="5176953.3931999998" in="0">
        <tpls c="3">
          <tpl hier="2" item="11"/>
          <tpl fld="1" item="1"/>
          <tpl fld="4" item="1"/>
        </tpls>
      </n>
      <n v="-472533.62030000001" in="0">
        <tpls c="3">
          <tpl hier="2" item="11"/>
          <tpl fld="1" item="0"/>
          <tpl fld="4" item="1"/>
        </tpls>
      </n>
      <n v="4974175.7691000002" in="0">
        <tpls c="3">
          <tpl hier="2" item="11"/>
          <tpl fld="1" item="1"/>
          <tpl fld="4" item="0"/>
        </tpls>
      </n>
      <n v="7334175.7690999992" in="0">
        <tpls c="3">
          <tpl hier="2" item="11"/>
          <tpl fld="3" item="2"/>
          <tpl fld="4" item="0"/>
        </tpls>
      </n>
      <n v="-3638599.3692000001" in="0">
        <tpls c="3">
          <tpl hier="2" item="11"/>
          <tpl fld="3" item="1"/>
          <tpl fld="4" item="0"/>
        </tpls>
      </n>
      <n v="-3683560.5125000002" in="0">
        <tpls c="3">
          <tpl hier="2" item="11"/>
          <tpl fld="3" item="1"/>
          <tpl fld="4" item="1"/>
        </tpls>
      </n>
      <n v="7496953.3931999998" in="0">
        <tpls c="3">
          <tpl hier="2" item="11"/>
          <tpl fld="3" item="2"/>
          <tpl fld="4" item="1"/>
        </tpls>
      </n>
      <n v="-3211026.8922000001" in="0">
        <tpls c="3">
          <tpl hier="2" item="11"/>
          <tpl fld="2" item="0"/>
          <tpl fld="4" item="1"/>
        </tpls>
      </n>
      <m in="0">
        <tpls c="3">
          <tpl hier="2" item="12"/>
          <tpl fld="1" item="0"/>
          <tpl fld="4" item="0"/>
        </tpls>
      </m>
      <n v="4974175.7691000002" in="0">
        <tpls c="3">
          <tpl hier="2" item="12"/>
          <tpl fld="1" item="1"/>
          <tpl fld="4" item="1"/>
        </tpls>
      </n>
      <n v="-382928.92259999999" in="0">
        <tpls c="3">
          <tpl hier="2" item="12"/>
          <tpl fld="1" item="0"/>
          <tpl fld="4" item="1"/>
        </tpls>
      </n>
      <m in="0">
        <tpls c="3">
          <tpl hier="2" item="12"/>
          <tpl fld="1" item="1"/>
          <tpl fld="4" item="0"/>
        </tpls>
      </m>
      <m in="0">
        <tpls c="3">
          <tpl hier="2" item="12"/>
          <tpl fld="3" item="2"/>
          <tpl fld="4" item="0"/>
        </tpls>
      </m>
      <m in="0">
        <tpls c="3">
          <tpl hier="2" item="12"/>
          <tpl fld="3" item="1"/>
          <tpl fld="4" item="0"/>
        </tpls>
      </m>
      <n v="-3638599.3692000001" in="0">
        <tpls c="3">
          <tpl hier="2" item="12"/>
          <tpl fld="3" item="1"/>
          <tpl fld="4" item="1"/>
        </tpls>
      </n>
      <n v="7334175.7690999992" in="0">
        <tpls c="3">
          <tpl hier="2" item="12"/>
          <tpl fld="3" item="2"/>
          <tpl fld="4" item="1"/>
        </tpls>
      </n>
      <n v="-3255670.4465999999" in="0">
        <tpls c="3">
          <tpl hier="2" item="12"/>
          <tpl fld="2" item="0"/>
          <tpl fld="4" item="1"/>
        </tpls>
      </n>
      <n v="-472533.62030000001" in="0">
        <tpls c="3">
          <tpl hier="2" item="13"/>
          <tpl fld="1" item="0"/>
          <tpl fld="4" item="0"/>
        </tpls>
      </n>
      <n v="5118567.9528000001" in="0">
        <tpls c="3">
          <tpl hier="2" item="13"/>
          <tpl fld="1" item="1"/>
          <tpl fld="4" item="1"/>
        </tpls>
      </n>
      <n v="-486003.7965" in="0">
        <tpls c="3">
          <tpl hier="2" item="13"/>
          <tpl fld="1" item="0"/>
          <tpl fld="4" item="1"/>
        </tpls>
      </n>
      <n v="5176953.3931999998" in="0">
        <tpls c="3">
          <tpl hier="2" item="13"/>
          <tpl fld="1" item="1"/>
          <tpl fld="4" item="0"/>
        </tpls>
      </n>
      <n v="7496953.3931999998" in="0">
        <tpls c="3">
          <tpl hier="2" item="13"/>
          <tpl fld="3" item="2"/>
          <tpl fld="4" item="0"/>
        </tpls>
      </n>
      <n v="-3683560.5125000002" in="0">
        <tpls c="3">
          <tpl hier="2" item="13"/>
          <tpl fld="3" item="1"/>
          <tpl fld="4" item="0"/>
        </tpls>
      </n>
      <n v="-3652070.9092000001" in="0">
        <tpls c="3">
          <tpl hier="2" item="13"/>
          <tpl fld="3" item="1"/>
          <tpl fld="4" item="1"/>
        </tpls>
      </n>
      <n v="7546067.9528000001" in="0">
        <tpls c="3">
          <tpl hier="2" item="13"/>
          <tpl fld="3" item="2"/>
          <tpl fld="4" item="1"/>
        </tpls>
      </n>
      <n v="-3166067.1126999999" in="0">
        <tpls c="3">
          <tpl hier="2" item="13"/>
          <tpl fld="2" item="0"/>
          <tpl fld="4" item="1"/>
        </tpls>
      </n>
    </entries>
    <sets count="14">
      <set count="12" maxRank="12" setDefinition="[Calendar].[Month Name].children">
        <tpls c="1">
          <tpl fld="0" item="0"/>
        </tpls>
        <tpls c="1">
          <tpl fld="0" item="1"/>
        </tpls>
        <tpls c="1">
          <tpl fld="0" item="2"/>
        </tpls>
        <tpls c="1">
          <tpl fld="0" item="3"/>
        </tpls>
        <tpls c="1">
          <tpl fld="0" item="4"/>
        </tpls>
        <tpls c="1">
          <tpl fld="0" item="5"/>
        </tpls>
        <tpls c="1">
          <tpl fld="0" item="6"/>
        </tpls>
        <tpls c="1">
          <tpl fld="0" item="7"/>
        </tpls>
        <tpls c="1">
          <tpl fld="0" item="8"/>
        </tpls>
        <tpls c="1">
          <tpl fld="0" item="9"/>
        </tpls>
        <tpls c="1">
          <tpl fld="0" item="10"/>
        </tpls>
        <tpls c="1">
          <tpl fld="0" item="11"/>
        </tpls>
      </set>
      <set count="1" maxRank="1" setDefinition="{[Calendar].[Month Name].[All]}">
        <tpls c="1">
          <tpl hier="2" item="4294967295"/>
        </tpls>
      </set>
      <set count="1" maxRank="1" setDefinition="{[Calendar].[Month Name].&amp;[Aug]}">
        <tpls c="1">
          <tpl fld="0" item="7"/>
        </tpls>
      </set>
      <set count="1" maxRank="1" setDefinition="{[Calendar].[Month Name].&amp;[Sep]}">
        <tpls c="1">
          <tpl fld="0" item="8"/>
        </tpls>
      </set>
      <set count="1" maxRank="1" setDefinition="{[Calendar].[Month Name].&amp;[Nov]}">
        <tpls c="1">
          <tpl fld="0" item="10"/>
        </tpls>
      </set>
      <set count="1" maxRank="1" setDefinition="{[Calendar].[Month Name].&amp;[Dec]}">
        <tpls c="1">
          <tpl fld="0" item="11"/>
        </tpls>
      </set>
      <set count="1" maxRank="1" setDefinition="{[Calendar].[Month Name].&amp;[Jul]}">
        <tpls c="1">
          <tpl fld="0" item="6"/>
        </tpls>
      </set>
      <set count="1" maxRank="1" setDefinition="{[Calendar].[Month Name].&amp;[Jun]}">
        <tpls c="1">
          <tpl fld="0" item="5"/>
        </tpls>
      </set>
      <set count="1" maxRank="1" setDefinition="{[Calendar].[Month Name].&amp;[Apr]}">
        <tpls c="1">
          <tpl fld="0" item="3"/>
        </tpls>
      </set>
      <set count="1" maxRank="1" setDefinition="{[Calendar].[Month Name].&amp;[Oct]}">
        <tpls c="1">
          <tpl fld="0" item="9"/>
        </tpls>
      </set>
      <set count="1" maxRank="1" setDefinition="{[Calendar].[Month Name].&amp;[May]}">
        <tpls c="1">
          <tpl fld="0" item="4"/>
        </tpls>
      </set>
      <set count="1" maxRank="1" setDefinition="{[Calendar].[Month Name].&amp;[Feb]}">
        <tpls c="1">
          <tpl fld="0" item="1"/>
        </tpls>
      </set>
      <set count="1" maxRank="1" setDefinition="{[Calendar].[Month Name].&amp;[Jan]}">
        <tpls c="1">
          <tpl fld="0" item="0"/>
        </tpls>
      </set>
      <set count="1" maxRank="1" setDefinition="{[Calendar].[Month Name].&amp;[Mar]}">
        <tpls c="1">
          <tpl fld="0" item="2"/>
        </tpls>
      </set>
    </sets>
    <queryCache count="10">
      <query mdx="[CoA].[Sub-Category].[Current Liabilities]">
        <tpls c="1">
          <tpl fld="1" item="0"/>
        </tpls>
      </query>
      <query mdx="[CoA].[Sub-Category].[Current Assets]">
        <tpls c="1">
          <tpl fld="1" item="1"/>
        </tpls>
      </query>
      <query mdx="[CoA].[Account].[Long Term Loans]">
        <tpls c="1">
          <tpl fld="2" item="0"/>
        </tpls>
      </query>
      <query mdx="[CoA].[Category].[Equity]">
        <tpls c="1">
          <tpl fld="3" item="0"/>
        </tpls>
      </query>
      <query mdx="[CoA].[Category].[Liabilities]">
        <tpls c="1">
          <tpl fld="3" item="1"/>
        </tpls>
      </query>
      <query mdx="[CoA].[Category].[Assets]">
        <tpls c="1">
          <tpl fld="3" item="2"/>
        </tpls>
      </query>
      <query mdx="[Measures].[Previous]">
        <tpls c="1">
          <tpl fld="4" item="0"/>
        </tpls>
      </query>
      <query mdx="[Measures].[Current]">
        <tpls c="1">
          <tpl fld="4" item="1"/>
        </tpls>
      </query>
      <query mdx="Previous">
        <tpls c="1">
          <tpl fld="4" item="0"/>
        </tpls>
      </query>
      <query mdx="Current"/>
    </queryCache>
    <serverFormats count="1">
      <serverFormat format="#,0.00"/>
    </serverFormats>
  </tupleCache>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02.14238287037" backgroundQuery="1" createdVersion="8" refreshedVersion="8" minRefreshableVersion="3" recordCount="0" supportSubquery="1" supportAdvancedDrill="1" xr:uid="{F8CD0789-97FF-46CA-B0C0-045BF75C4E18}">
  <cacheSource type="external" connectionId="7"/>
  <cacheFields count="7">
    <cacheField name="[CoA 1].[Category].[Category]" caption="Category" numFmtId="0" hierarchy="12" level="1">
      <sharedItems count="3">
        <s v="Assets"/>
        <s v="Equity"/>
        <s v="Liabilities"/>
      </sharedItems>
    </cacheField>
    <cacheField name="[CoA].[IS or BS].[IS or BS]" caption="IS or BS" numFmtId="0" hierarchy="5" level="1">
      <sharedItems containsSemiMixedTypes="0" containsNonDate="0" containsString="0"/>
    </cacheField>
    <cacheField name="[CoA].[Sub-Category].[Sub-Category]" caption="Sub-Category" numFmtId="0" hierarchy="7" level="1">
      <sharedItems count="6">
        <s v="Current Assets"/>
        <s v="Long Term Assets"/>
        <s v="Retained Earnings"/>
        <s v="Shareholders Equity"/>
        <s v="Current Liabilities"/>
        <s v="Long Term Liabilities"/>
      </sharedItems>
    </cacheField>
    <cacheField name="[CoA].[Account].[Account]" caption="Account" numFmtId="0" hierarchy="4" level="1">
      <sharedItems count="10">
        <s v="Cash"/>
        <s v="Inventory"/>
        <s v="Receivables"/>
        <s v="Accum Depr: PPE"/>
        <s v="Property, Plant &amp; Equipment"/>
        <s v="Retained Earnings"/>
        <s v="Capital Contributions"/>
        <s v="Payables"/>
        <s v="Provision for Taxation"/>
        <s v="Long Term Loans"/>
      </sharedItems>
    </cacheField>
    <cacheField name="[Measures].[Current]" caption="Current" numFmtId="0" hierarchy="20" level="32767"/>
    <cacheField name="[Measures].[Previous]" caption="Previous" numFmtId="0" hierarchy="21" level="32767"/>
    <cacheField name="[Calendar].[Month Name].[Month Name]" caption="Month Name" numFmtId="0" hierarchy="2" level="1">
      <sharedItems containsSemiMixedTypes="0" containsNonDate="0" containsString="0"/>
    </cacheField>
  </cacheFields>
  <cacheHierarchies count="28">
    <cacheHierarchy uniqueName="[Calendar].[Date]" caption="Date" attribute="1" time="1" defaultMemberUniqueName="[Calendar].[Date].[All]" allUniqueName="[Calendar].[Date].[All]" dimensionUniqueName="[Calendar]" displayFolder="" count="0" memberValueDatatype="7" unbalanced="0"/>
    <cacheHierarchy uniqueName="[Calendar].[Month]" caption="Month" attribute="1" defaultMemberUniqueName="[Calendar].[Month].[All]" allUniqueName="[Calendar].[Month].[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2" memberValueDatatype="130" unbalanced="0">
      <fieldsUsage count="2">
        <fieldUsage x="-1"/>
        <fieldUsage x="6"/>
      </fieldsUsage>
    </cacheHierarchy>
    <cacheHierarchy uniqueName="[CoA].[Account Code]" caption="Account Code" attribute="1" defaultMemberUniqueName="[CoA].[Account Code].[All]" allUniqueName="[CoA].[Account Code].[All]" dimensionUniqueName="[CoA]" displayFolder="" count="0" memberValueDatatype="20" unbalanced="0"/>
    <cacheHierarchy uniqueName="[CoA].[Account]" caption="Account" attribute="1" defaultMemberUniqueName="[CoA].[Account].[All]" allUniqueName="[CoA].[Account].[All]" dimensionUniqueName="[CoA]" displayFolder="" count="2" memberValueDatatype="130" unbalanced="0">
      <fieldsUsage count="2">
        <fieldUsage x="-1"/>
        <fieldUsage x="3"/>
      </fieldsUsage>
    </cacheHierarchy>
    <cacheHierarchy uniqueName="[CoA].[IS or BS]" caption="IS or BS" attribute="1" defaultMemberUniqueName="[CoA].[IS or BS].[All]" allUniqueName="[CoA].[IS or BS].[All]" dimensionUniqueName="[CoA]" displayFolder="" count="2" memberValueDatatype="130" unbalanced="0">
      <fieldsUsage count="2">
        <fieldUsage x="-1"/>
        <fieldUsage x="1"/>
      </fieldsUsage>
    </cacheHierarchy>
    <cacheHierarchy uniqueName="[CoA].[Category]" caption="Category" attribute="1" defaultMemberUniqueName="[CoA].[Category].[All]" allUniqueName="[CoA].[Category].[All]" dimensionUniqueName="[CoA]" displayFolder="" count="0" memberValueDatatype="130" unbalanced="0"/>
    <cacheHierarchy uniqueName="[CoA].[Sub-Category]" caption="Sub-Category" attribute="1" defaultMemberUniqueName="[CoA].[Sub-Category].[All]" allUniqueName="[CoA].[Sub-Category].[All]" dimensionUniqueName="[CoA]" displayFolder="" count="2" memberValueDatatype="130" unbalanced="0">
      <fieldsUsage count="2">
        <fieldUsage x="-1"/>
        <fieldUsage x="2"/>
      </fieldsUsage>
    </cacheHierarchy>
    <cacheHierarchy uniqueName="[CoA].[Debit or Credit]" caption="Debit or Credit" attribute="1" defaultMemberUniqueName="[CoA].[Debit or Credit].[All]" allUniqueName="[CoA].[Debit or Credit].[All]" dimensionUniqueName="[CoA]" displayFolder="" count="0" memberValueDatatype="130" unbalanced="0"/>
    <cacheHierarchy uniqueName="[CoA 1].[Account Code]" caption="Account Code" attribute="1" defaultMemberUniqueName="[CoA 1].[Account Code].[All]" allUniqueName="[CoA 1].[Account Code].[All]" dimensionUniqueName="[CoA 1]" displayFolder="" count="0" memberValueDatatype="20" unbalanced="0"/>
    <cacheHierarchy uniqueName="[CoA 1].[Account]" caption="Account" attribute="1" defaultMemberUniqueName="[CoA 1].[Account].[All]" allUniqueName="[CoA 1].[Account].[All]" dimensionUniqueName="[CoA 1]" displayFolder="" count="0" memberValueDatatype="130" unbalanced="0"/>
    <cacheHierarchy uniqueName="[CoA 1].[IS or BS]" caption="IS or BS" attribute="1" defaultMemberUniqueName="[CoA 1].[IS or BS].[All]" allUniqueName="[CoA 1].[IS or BS].[All]" dimensionUniqueName="[CoA 1]" displayFolder="" count="0" memberValueDatatype="130" unbalanced="0"/>
    <cacheHierarchy uniqueName="[CoA 1].[Category]" caption="Category" attribute="1" defaultMemberUniqueName="[CoA 1].[Category].[All]" allUniqueName="[CoA 1].[Category].[All]" dimensionUniqueName="[CoA 1]" displayFolder="" count="2" memberValueDatatype="130" unbalanced="0">
      <fieldsUsage count="2">
        <fieldUsage x="-1"/>
        <fieldUsage x="0"/>
      </fieldsUsage>
    </cacheHierarchy>
    <cacheHierarchy uniqueName="[CoA 1].[Sub-Category]" caption="Sub-Category" attribute="1" defaultMemberUniqueName="[CoA 1].[Sub-Category].[All]" allUniqueName="[CoA 1].[Sub-Category].[All]" dimensionUniqueName="[CoA 1]" displayFolder="" count="0" memberValueDatatype="130" unbalanced="0"/>
    <cacheHierarchy uniqueName="[CoA 1].[Debit or Credit]" caption="Debit or Credit" attribute="1" defaultMemberUniqueName="[CoA 1].[Debit or Credit].[All]" allUniqueName="[CoA 1].[Debit or Credit].[All]" dimensionUniqueName="[CoA 1]" displayFolder="" count="0" memberValueDatatype="130" unbalanced="0"/>
    <cacheHierarchy uniqueName="[TB].[Account Code]" caption="Account Code" attribute="1" defaultMemberUniqueName="[TB].[Account Code].[All]" allUniqueName="[TB].[Account Code].[All]" dimensionUniqueName="[TB]" displayFolder="" count="0" memberValueDatatype="20" unbalanced="0"/>
    <cacheHierarchy uniqueName="[TB].[Account]" caption="Account" attribute="1" defaultMemberUniqueName="[TB].[Account].[All]" allUniqueName="[TB].[Account].[All]" dimensionUniqueName="[TB]" displayFolder="" count="0" memberValueDatatype="130" unbalanced="0"/>
    <cacheHierarchy uniqueName="[TB].[Date]" caption="Date" attribute="1" time="1" defaultMemberUniqueName="[TB].[Date].[All]" allUniqueName="[TB].[Date].[All]" dimensionUniqueName="[TB]" displayFolder="" count="0" memberValueDatatype="7" unbalanced="0"/>
    <cacheHierarchy uniqueName="[TB].[Amount]" caption="Amount" attribute="1" defaultMemberUniqueName="[TB].[Amount].[All]" allUniqueName="[TB].[Amount].[All]" dimensionUniqueName="[TB]" displayFolder="" count="0" memberValueDatatype="5" unbalanced="0"/>
    <cacheHierarchy uniqueName="[Measures].[Sum of Amount]" caption="Sum of Amount" measure="1" displayFolder="" measureGroup="TB" count="0">
      <extLst>
        <ext xmlns:x15="http://schemas.microsoft.com/office/spreadsheetml/2010/11/main" uri="{B97F6D7D-B522-45F9-BDA1-12C45D357490}">
          <x15:cacheHierarchy aggregatedColumn="18"/>
        </ext>
      </extLst>
    </cacheHierarchy>
    <cacheHierarchy uniqueName="[Measures].[Current]" caption="Current" measure="1" displayFolder="" measureGroup="TB" count="0" oneField="1">
      <fieldsUsage count="1">
        <fieldUsage x="4"/>
      </fieldsUsage>
    </cacheHierarchy>
    <cacheHierarchy uniqueName="[Measures].[Previous]" caption="Previous" measure="1" displayFolder="" measureGroup="TB" count="0" oneField="1">
      <fieldsUsage count="1">
        <fieldUsage x="5"/>
      </fieldsUsage>
    </cacheHierarchy>
    <cacheHierarchy uniqueName="[Measures].[Variance]" caption="Variance" measure="1" displayFolder="" measureGroup="TB" count="0"/>
    <cacheHierarchy uniqueName="[Measures].[__XL_Count CoA]" caption="__XL_Count CoA" measure="1" displayFolder="" measureGroup="CoA" count="0" hidden="1"/>
    <cacheHierarchy uniqueName="[Measures].[__XL_Count TB]" caption="__XL_Count TB" measure="1" displayFolder="" measureGroup="TB" count="0" hidden="1"/>
    <cacheHierarchy uniqueName="[Measures].[__XL_Count Calendar]" caption="__XL_Count Calendar" measure="1" displayFolder="" measureGroup="Calendar" count="0" hidden="1"/>
    <cacheHierarchy uniqueName="[Measures].[__XL_Count CoA 1]" caption="__XL_Count CoA 1" measure="1" displayFolder="" measureGroup="CoA 1" count="0" hidden="1"/>
    <cacheHierarchy uniqueName="[Measures].[__No measures defined]" caption="__No measures defined" measure="1" displayFolder="" count="0" hidden="1"/>
  </cacheHierarchies>
  <kpis count="0"/>
  <dimensions count="5">
    <dimension name="Calendar" uniqueName="[Calendar]" caption="Calendar"/>
    <dimension name="CoA" uniqueName="[CoA]" caption="CoA"/>
    <dimension name="CoA 1" uniqueName="[CoA 1]" caption="CoA 1"/>
    <dimension measure="1" name="Measures" uniqueName="[Measures]" caption="Measures"/>
    <dimension name="TB" uniqueName="[TB]" caption="TB"/>
  </dimensions>
  <measureGroups count="4">
    <measureGroup name="Calendar" caption="Calendar"/>
    <measureGroup name="CoA" caption="CoA"/>
    <measureGroup name="CoA 1" caption="CoA 1"/>
    <measureGroup name="TB" caption="TB"/>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02.142383333332" backgroundQuery="1" createdVersion="8" refreshedVersion="8" minRefreshableVersion="3" recordCount="0" supportSubquery="1" supportAdvancedDrill="1" xr:uid="{D6A85DD1-6E90-48F2-96C6-1B9CA9579323}">
  <cacheSource type="external" connectionId="7"/>
  <cacheFields count="9">
    <cacheField name="[CoA 1].[Category].[Category]" caption="Category" numFmtId="0" hierarchy="12" level="1">
      <sharedItems count="3">
        <s v="Assets"/>
        <s v="Equity"/>
        <s v="Liabilities"/>
      </sharedItems>
    </cacheField>
    <cacheField name="[CoA].[IS or BS].[IS or BS]" caption="IS or BS" numFmtId="0" hierarchy="5" level="1">
      <sharedItems containsSemiMixedTypes="0" containsNonDate="0" containsString="0"/>
    </cacheField>
    <cacheField name="[CoA].[Sub-Category].[Sub-Category]" caption="Sub-Category" numFmtId="0" hierarchy="7" level="1">
      <sharedItems count="6">
        <s v="Current Assets"/>
        <s v="Long Term Assets"/>
        <s v="Retained Earnings"/>
        <s v="Shareholders Equity"/>
        <s v="Current Liabilities"/>
        <s v="Long Term Liabilities"/>
      </sharedItems>
    </cacheField>
    <cacheField name="[CoA].[Account].[Account]" caption="Account" numFmtId="0" hierarchy="4" level="1">
      <sharedItems count="10">
        <s v="Cash"/>
        <s v="Inventory"/>
        <s v="Receivables"/>
        <s v="Accum Depr: PPE"/>
        <s v="Property, Plant &amp; Equipment"/>
        <s v="Retained Earnings"/>
        <s v="Capital Contributions"/>
        <s v="Payables"/>
        <s v="Provision for Taxation"/>
        <s v="Long Term Loans"/>
      </sharedItems>
    </cacheField>
    <cacheField name="[Measures].[Current]" caption="Current" numFmtId="0" hierarchy="20" level="32767"/>
    <cacheField name="[Measures].[Previous]" caption="Previous" numFmtId="0" hierarchy="21" level="32767"/>
    <cacheField name="[Measures].[Variance]" caption="Variance" numFmtId="0" hierarchy="22" level="32767"/>
    <cacheField name="[Calendar].[Month Name].[Month Name]" caption="Month Name" numFmtId="0" hierarchy="2" level="1">
      <sharedItems containsSemiMixedTypes="0" containsNonDate="0" containsString="0"/>
    </cacheField>
    <cacheField name="Unsupported0" numFmtId="0" hierarchy="28" level="32767">
      <extLst>
        <ext xmlns:x14="http://schemas.microsoft.com/office/spreadsheetml/2009/9/main" uri="{63CAB8AC-B538-458d-9737-405883B0398D}">
          <x14:cacheField ignore="1"/>
        </ext>
      </extLst>
    </cacheField>
  </cacheFields>
  <cacheHierarchies count="29">
    <cacheHierarchy uniqueName="[Calendar].[Date]" caption="Date" attribute="1" time="1" defaultMemberUniqueName="[Calendar].[Date].[All]" allUniqueName="[Calendar].[Date].[All]" dimensionUniqueName="[Calendar]" displayFolder="" count="0" memberValueDatatype="7" unbalanced="0"/>
    <cacheHierarchy uniqueName="[Calendar].[Month]" caption="Month" attribute="1" defaultMemberUniqueName="[Calendar].[Month].[All]" allUniqueName="[Calendar].[Month].[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2" memberValueDatatype="130" unbalanced="0">
      <fieldsUsage count="2">
        <fieldUsage x="-1"/>
        <fieldUsage x="7"/>
      </fieldsUsage>
    </cacheHierarchy>
    <cacheHierarchy uniqueName="[CoA].[Account Code]" caption="Account Code" attribute="1" defaultMemberUniqueName="[CoA].[Account Code].[All]" allUniqueName="[CoA].[Account Code].[All]" dimensionUniqueName="[CoA]" displayFolder="" count="0" memberValueDatatype="20" unbalanced="0"/>
    <cacheHierarchy uniqueName="[CoA].[Account]" caption="Account" attribute="1" defaultMemberUniqueName="[CoA].[Account].[All]" allUniqueName="[CoA].[Account].[All]" dimensionUniqueName="[CoA]" displayFolder="" count="2" memberValueDatatype="130" unbalanced="0">
      <fieldsUsage count="2">
        <fieldUsage x="-1"/>
        <fieldUsage x="3"/>
      </fieldsUsage>
    </cacheHierarchy>
    <cacheHierarchy uniqueName="[CoA].[IS or BS]" caption="IS or BS" attribute="1" defaultMemberUniqueName="[CoA].[IS or BS].[All]" allUniqueName="[CoA].[IS or BS].[All]" dimensionUniqueName="[CoA]" displayFolder="" count="2" memberValueDatatype="130" unbalanced="0">
      <fieldsUsage count="2">
        <fieldUsage x="-1"/>
        <fieldUsage x="1"/>
      </fieldsUsage>
    </cacheHierarchy>
    <cacheHierarchy uniqueName="[CoA].[Category]" caption="Category" attribute="1" defaultMemberUniqueName="[CoA].[Category].[All]" allUniqueName="[CoA].[Category].[All]" dimensionUniqueName="[CoA]" displayFolder="" count="0" memberValueDatatype="130" unbalanced="0"/>
    <cacheHierarchy uniqueName="[CoA].[Sub-Category]" caption="Sub-Category" attribute="1" defaultMemberUniqueName="[CoA].[Sub-Category].[All]" allUniqueName="[CoA].[Sub-Category].[All]" dimensionUniqueName="[CoA]" displayFolder="" count="2" memberValueDatatype="130" unbalanced="0">
      <fieldsUsage count="2">
        <fieldUsage x="-1"/>
        <fieldUsage x="2"/>
      </fieldsUsage>
    </cacheHierarchy>
    <cacheHierarchy uniqueName="[CoA].[Debit or Credit]" caption="Debit or Credit" attribute="1" defaultMemberUniqueName="[CoA].[Debit or Credit].[All]" allUniqueName="[CoA].[Debit or Credit].[All]" dimensionUniqueName="[CoA]" displayFolder="" count="0" memberValueDatatype="130" unbalanced="0"/>
    <cacheHierarchy uniqueName="[CoA 1].[Account Code]" caption="Account Code" attribute="1" defaultMemberUniqueName="[CoA 1].[Account Code].[All]" allUniqueName="[CoA 1].[Account Code].[All]" dimensionUniqueName="[CoA 1]" displayFolder="" count="0" memberValueDatatype="20" unbalanced="0"/>
    <cacheHierarchy uniqueName="[CoA 1].[Account]" caption="Account" attribute="1" defaultMemberUniqueName="[CoA 1].[Account].[All]" allUniqueName="[CoA 1].[Account].[All]" dimensionUniqueName="[CoA 1]" displayFolder="" count="0" memberValueDatatype="130" unbalanced="0"/>
    <cacheHierarchy uniqueName="[CoA 1].[IS or BS]" caption="IS or BS" attribute="1" defaultMemberUniqueName="[CoA 1].[IS or BS].[All]" allUniqueName="[CoA 1].[IS or BS].[All]" dimensionUniqueName="[CoA 1]" displayFolder="" count="0" memberValueDatatype="130" unbalanced="0"/>
    <cacheHierarchy uniqueName="[CoA 1].[Category]" caption="Category" attribute="1" defaultMemberUniqueName="[CoA 1].[Category].[All]" allUniqueName="[CoA 1].[Category].[All]" dimensionUniqueName="[CoA 1]" displayFolder="" count="2" memberValueDatatype="130" unbalanced="0">
      <fieldsUsage count="2">
        <fieldUsage x="-1"/>
        <fieldUsage x="0"/>
      </fieldsUsage>
    </cacheHierarchy>
    <cacheHierarchy uniqueName="[CoA 1].[Sub-Category]" caption="Sub-Category" attribute="1" defaultMemberUniqueName="[CoA 1].[Sub-Category].[All]" allUniqueName="[CoA 1].[Sub-Category].[All]" dimensionUniqueName="[CoA 1]" displayFolder="" count="0" memberValueDatatype="130" unbalanced="0"/>
    <cacheHierarchy uniqueName="[CoA 1].[Debit or Credit]" caption="Debit or Credit" attribute="1" defaultMemberUniqueName="[CoA 1].[Debit or Credit].[All]" allUniqueName="[CoA 1].[Debit or Credit].[All]" dimensionUniqueName="[CoA 1]" displayFolder="" count="0" memberValueDatatype="130" unbalanced="0"/>
    <cacheHierarchy uniqueName="[TB].[Account Code]" caption="Account Code" attribute="1" defaultMemberUniqueName="[TB].[Account Code].[All]" allUniqueName="[TB].[Account Code].[All]" dimensionUniqueName="[TB]" displayFolder="" count="0" memberValueDatatype="20" unbalanced="0"/>
    <cacheHierarchy uniqueName="[TB].[Account]" caption="Account" attribute="1" defaultMemberUniqueName="[TB].[Account].[All]" allUniqueName="[TB].[Account].[All]" dimensionUniqueName="[TB]" displayFolder="" count="0" memberValueDatatype="130" unbalanced="0"/>
    <cacheHierarchy uniqueName="[TB].[Date]" caption="Date" attribute="1" time="1" defaultMemberUniqueName="[TB].[Date].[All]" allUniqueName="[TB].[Date].[All]" dimensionUniqueName="[TB]" displayFolder="" count="0" memberValueDatatype="7" unbalanced="0"/>
    <cacheHierarchy uniqueName="[TB].[Amount]" caption="Amount" attribute="1" defaultMemberUniqueName="[TB].[Amount].[All]" allUniqueName="[TB].[Amount].[All]" dimensionUniqueName="[TB]" displayFolder="" count="0" memberValueDatatype="5" unbalanced="0"/>
    <cacheHierarchy uniqueName="[Measures].[Sum of Amount]" caption="Sum of Amount" measure="1" displayFolder="" measureGroup="TB" count="0">
      <extLst>
        <ext xmlns:x15="http://schemas.microsoft.com/office/spreadsheetml/2010/11/main" uri="{B97F6D7D-B522-45F9-BDA1-12C45D357490}">
          <x15:cacheHierarchy aggregatedColumn="18"/>
        </ext>
      </extLst>
    </cacheHierarchy>
    <cacheHierarchy uniqueName="[Measures].[Current]" caption="Current" measure="1" displayFolder="" measureGroup="TB" count="0" oneField="1">
      <fieldsUsage count="1">
        <fieldUsage x="4"/>
      </fieldsUsage>
    </cacheHierarchy>
    <cacheHierarchy uniqueName="[Measures].[Previous]" caption="Previous" measure="1" displayFolder="" measureGroup="TB" count="0" oneField="1">
      <fieldsUsage count="1">
        <fieldUsage x="5"/>
      </fieldsUsage>
    </cacheHierarchy>
    <cacheHierarchy uniqueName="[Measures].[Variance]" caption="Variance" measure="1" displayFolder="" measureGroup="TB" count="0" oneField="1">
      <fieldsUsage count="1">
        <fieldUsage x="6"/>
      </fieldsUsage>
    </cacheHierarchy>
    <cacheHierarchy uniqueName="[Measures].[__XL_Count CoA]" caption="__XL_Count CoA" measure="1" displayFolder="" measureGroup="CoA" count="0" hidden="1"/>
    <cacheHierarchy uniqueName="[Measures].[__XL_Count TB]" caption="__XL_Count TB" measure="1" displayFolder="" measureGroup="TB" count="0" hidden="1"/>
    <cacheHierarchy uniqueName="[Measures].[__XL_Count Calendar]" caption="__XL_Count Calendar" measure="1" displayFolder="" measureGroup="Calendar" count="0" hidden="1"/>
    <cacheHierarchy uniqueName="[Measures].[__XL_Count CoA 1]" caption="__XL_Count CoA 1" measure="1" displayFolder="" measureGroup="CoA 1" count="0" hidden="1"/>
    <cacheHierarchy uniqueName="[Measures].[__No measures defined]" caption="__No measures defined" measure="1" displayFolder="" count="0" hidden="1"/>
    <cacheHierarchy uniqueName="Unsupported0" caption="Date" measure="1" count="0">
      <extLst>
        <ext xmlns:x14="http://schemas.microsoft.com/office/spreadsheetml/2009/9/main" uri="{8CF416AD-EC4C-4aba-99F5-12A058AE0983}">
          <x14:cacheHierarchy ignore="1"/>
        </ext>
      </extLst>
    </cacheHierarchy>
  </cacheHierarchies>
  <kpis count="0"/>
  <dimensions count="5">
    <dimension name="Calendar" uniqueName="[Calendar]" caption="Calendar"/>
    <dimension name="CoA" uniqueName="[CoA]" caption="CoA"/>
    <dimension name="CoA 1" uniqueName="[CoA 1]" caption="CoA 1"/>
    <dimension measure="1" name="Measures" uniqueName="[Measures]" caption="Measures"/>
    <dimension name="TB" uniqueName="[TB]" caption="TB"/>
  </dimensions>
  <measureGroups count="4">
    <measureGroup name="Calendar" caption="Calendar"/>
    <measureGroup name="CoA" caption="CoA"/>
    <measureGroup name="CoA 1" caption="CoA 1"/>
    <measureGroup name="TB" caption="TB"/>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02.089713773152" backgroundQuery="1" createdVersion="3" refreshedVersion="8" minRefreshableVersion="3" recordCount="0" supportSubquery="1" supportAdvancedDrill="1" xr:uid="{F292452C-233B-409E-8E63-95436ABECAF8}">
  <cacheSource type="external" connectionId="7">
    <extLst>
      <ext xmlns:x14="http://schemas.microsoft.com/office/spreadsheetml/2009/9/main" uri="{F057638F-6D5F-4e77-A914-E7F072B9BCA8}">
        <x14:sourceConnection name="ThisWorkbookDataModel"/>
      </ext>
    </extLst>
  </cacheSource>
  <cacheFields count="0"/>
  <cacheHierarchies count="28">
    <cacheHierarchy uniqueName="[Calendar].[Date]" caption="Date" attribute="1" time="1" defaultMemberUniqueName="[Calendar].[Date].[All]" allUniqueName="[Calendar].[Date].[All]" dimensionUniqueName="[Calendar]" displayFolder="" count="0" memberValueDatatype="7" unbalanced="0"/>
    <cacheHierarchy uniqueName="[Calendar].[Month]" caption="Month" attribute="1" defaultMemberUniqueName="[Calendar].[Month].[All]" allUniqueName="[Calendar].[Month].[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2" memberValueDatatype="130" unbalanced="0"/>
    <cacheHierarchy uniqueName="[CoA].[Account Code]" caption="Account Code" attribute="1" defaultMemberUniqueName="[CoA].[Account Code].[All]" allUniqueName="[CoA].[Account Code].[All]" dimensionUniqueName="[CoA]" displayFolder="" count="0" memberValueDatatype="20" unbalanced="0"/>
    <cacheHierarchy uniqueName="[CoA].[Account]" caption="Account" attribute="1" defaultMemberUniqueName="[CoA].[Account].[All]" allUniqueName="[CoA].[Account].[All]" dimensionUniqueName="[CoA]" displayFolder="" count="0" memberValueDatatype="130" unbalanced="0"/>
    <cacheHierarchy uniqueName="[CoA].[IS or BS]" caption="IS or BS" attribute="1" defaultMemberUniqueName="[CoA].[IS or BS].[All]" allUniqueName="[CoA].[IS or BS].[All]" dimensionUniqueName="[CoA]" displayFolder="" count="0" memberValueDatatype="130" unbalanced="0"/>
    <cacheHierarchy uniqueName="[CoA].[Category]" caption="Category" attribute="1" defaultMemberUniqueName="[CoA].[Category].[All]" allUniqueName="[CoA].[Category].[All]" dimensionUniqueName="[CoA]" displayFolder="" count="0" memberValueDatatype="130" unbalanced="0"/>
    <cacheHierarchy uniqueName="[CoA].[Sub-Category]" caption="Sub-Category" attribute="1" defaultMemberUniqueName="[CoA].[Sub-Category].[All]" allUniqueName="[CoA].[Sub-Category].[All]" dimensionUniqueName="[CoA]" displayFolder="" count="0" memberValueDatatype="130" unbalanced="0"/>
    <cacheHierarchy uniqueName="[CoA].[Debit or Credit]" caption="Debit or Credit" attribute="1" defaultMemberUniqueName="[CoA].[Debit or Credit].[All]" allUniqueName="[CoA].[Debit or Credit].[All]" dimensionUniqueName="[CoA]" displayFolder="" count="0" memberValueDatatype="130" unbalanced="0"/>
    <cacheHierarchy uniqueName="[CoA 1].[Account Code]" caption="Account Code" attribute="1" defaultMemberUniqueName="[CoA 1].[Account Code].[All]" allUniqueName="[CoA 1].[Account Code].[All]" dimensionUniqueName="[CoA 1]" displayFolder="" count="0" memberValueDatatype="20" unbalanced="0"/>
    <cacheHierarchy uniqueName="[CoA 1].[Account]" caption="Account" attribute="1" defaultMemberUniqueName="[CoA 1].[Account].[All]" allUniqueName="[CoA 1].[Account].[All]" dimensionUniqueName="[CoA 1]" displayFolder="" count="0" memberValueDatatype="130" unbalanced="0"/>
    <cacheHierarchy uniqueName="[CoA 1].[IS or BS]" caption="IS or BS" attribute="1" defaultMemberUniqueName="[CoA 1].[IS or BS].[All]" allUniqueName="[CoA 1].[IS or BS].[All]" dimensionUniqueName="[CoA 1]" displayFolder="" count="0" memberValueDatatype="130" unbalanced="0"/>
    <cacheHierarchy uniqueName="[CoA 1].[Category]" caption="Category" attribute="1" defaultMemberUniqueName="[CoA 1].[Category].[All]" allUniqueName="[CoA 1].[Category].[All]" dimensionUniqueName="[CoA 1]" displayFolder="" count="0" memberValueDatatype="130" unbalanced="0"/>
    <cacheHierarchy uniqueName="[CoA 1].[Sub-Category]" caption="Sub-Category" attribute="1" defaultMemberUniqueName="[CoA 1].[Sub-Category].[All]" allUniqueName="[CoA 1].[Sub-Category].[All]" dimensionUniqueName="[CoA 1]" displayFolder="" count="0" memberValueDatatype="130" unbalanced="0"/>
    <cacheHierarchy uniqueName="[CoA 1].[Debit or Credit]" caption="Debit or Credit" attribute="1" defaultMemberUniqueName="[CoA 1].[Debit or Credit].[All]" allUniqueName="[CoA 1].[Debit or Credit].[All]" dimensionUniqueName="[CoA 1]" displayFolder="" count="0" memberValueDatatype="130" unbalanced="0"/>
    <cacheHierarchy uniqueName="[TB].[Account Code]" caption="Account Code" attribute="1" defaultMemberUniqueName="[TB].[Account Code].[All]" allUniqueName="[TB].[Account Code].[All]" dimensionUniqueName="[TB]" displayFolder="" count="0" memberValueDatatype="20" unbalanced="0"/>
    <cacheHierarchy uniqueName="[TB].[Account]" caption="Account" attribute="1" defaultMemberUniqueName="[TB].[Account].[All]" allUniqueName="[TB].[Account].[All]" dimensionUniqueName="[TB]" displayFolder="" count="0" memberValueDatatype="130" unbalanced="0"/>
    <cacheHierarchy uniqueName="[TB].[Date]" caption="Date" attribute="1" time="1" defaultMemberUniqueName="[TB].[Date].[All]" allUniqueName="[TB].[Date].[All]" dimensionUniqueName="[TB]" displayFolder="" count="0" memberValueDatatype="7" unbalanced="0"/>
    <cacheHierarchy uniqueName="[TB].[Amount]" caption="Amount" attribute="1" defaultMemberUniqueName="[TB].[Amount].[All]" allUniqueName="[TB].[Amount].[All]" dimensionUniqueName="[TB]" displayFolder="" count="0" memberValueDatatype="5" unbalanced="0"/>
    <cacheHierarchy uniqueName="[Measures].[Sum of Amount]" caption="Sum of Amount" measure="1" displayFolder="" measureGroup="TB" count="0">
      <extLst>
        <ext xmlns:x15="http://schemas.microsoft.com/office/spreadsheetml/2010/11/main" uri="{B97F6D7D-B522-45F9-BDA1-12C45D357490}">
          <x15:cacheHierarchy aggregatedColumn="18"/>
        </ext>
      </extLst>
    </cacheHierarchy>
    <cacheHierarchy uniqueName="[Measures].[Current]" caption="Current" measure="1" displayFolder="" measureGroup="TB" count="0"/>
    <cacheHierarchy uniqueName="[Measures].[Previous]" caption="Previous" measure="1" displayFolder="" measureGroup="TB" count="0"/>
    <cacheHierarchy uniqueName="[Measures].[Variance]" caption="Variance" measure="1" displayFolder="" measureGroup="TB" count="0"/>
    <cacheHierarchy uniqueName="[Measures].[__XL_Count CoA]" caption="__XL_Count CoA" measure="1" displayFolder="" measureGroup="CoA" count="0" hidden="1"/>
    <cacheHierarchy uniqueName="[Measures].[__XL_Count TB]" caption="__XL_Count TB" measure="1" displayFolder="" measureGroup="TB" count="0" hidden="1"/>
    <cacheHierarchy uniqueName="[Measures].[__XL_Count Calendar]" caption="__XL_Count Calendar" measure="1" displayFolder="" measureGroup="Calendar" count="0" hidden="1"/>
    <cacheHierarchy uniqueName="[Measures].[__XL_Count CoA 1]" caption="__XL_Count CoA 1" measure="1" displayFolder="" measureGroup="CoA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51047543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53B9D0-7FD8-4764-AA76-8B0853D88976}" name="PivotTable2" cacheId="673" applyNumberFormats="0" applyBorderFormats="0" applyFontFormats="0" applyPatternFormats="0" applyAlignmentFormats="0" applyWidthHeightFormats="1" dataCaption="Values" tag="9f962cbd-9869-41e7-ae31-61325639e36d" updatedVersion="8" minRefreshableVersion="3" subtotalHiddenItems="1" itemPrintTitles="1" createdVersion="8" indent="0" outline="1" outlineData="1" multipleFieldFilters="0">
  <location ref="B5:D25" firstHeaderRow="0" firstDataRow="1" firstDataCol="1" rowPageCount="1" colPageCount="1"/>
  <pivotFields count="7">
    <pivotField axis="axisRow" allDrilled="1" showAll="0" dataSourceSort="1" defaultAttributeDrillState="1">
      <items count="4">
        <item x="0"/>
        <item x="1"/>
        <item x="2"/>
        <item t="default"/>
      </items>
    </pivotField>
    <pivotField axis="axisPage" allDrilled="1" showAll="0" dataSourceSort="1" defaultAttributeDrillState="1">
      <items count="1">
        <item t="default"/>
      </items>
    </pivotField>
    <pivotField axis="axisRow" allDrilled="1" showAll="0" dataSourceSort="1" defaultAttributeDrillState="1">
      <items count="7">
        <item x="0"/>
        <item x="1"/>
        <item x="2"/>
        <item x="3"/>
        <item x="4"/>
        <item x="5"/>
        <item t="default"/>
      </items>
    </pivotField>
    <pivotField axis="axisRow" allDrilled="1" showAll="0" dataSourceSort="1" defaultAttributeDrillState="1">
      <items count="11">
        <item x="0"/>
        <item x="1"/>
        <item x="2"/>
        <item x="3"/>
        <item x="4"/>
        <item x="5"/>
        <item x="6"/>
        <item x="7"/>
        <item x="8"/>
        <item x="9"/>
        <item t="default"/>
      </items>
    </pivotField>
    <pivotField dataField="1" subtotalTop="0" showAll="0" defaultSubtotal="0"/>
    <pivotField dataField="1" subtotalTop="0" showAll="0" defaultSubtotal="0"/>
    <pivotField allDrilled="1" showAll="0" dataSourceSort="1" defaultAttributeDrillState="1"/>
  </pivotFields>
  <rowFields count="3">
    <field x="0"/>
    <field x="2"/>
    <field x="3"/>
  </rowFields>
  <rowItems count="20">
    <i>
      <x/>
    </i>
    <i r="1">
      <x/>
    </i>
    <i r="2">
      <x/>
    </i>
    <i r="2">
      <x v="1"/>
    </i>
    <i r="2">
      <x v="2"/>
    </i>
    <i r="1">
      <x v="1"/>
    </i>
    <i r="2">
      <x v="3"/>
    </i>
    <i r="2">
      <x v="4"/>
    </i>
    <i>
      <x v="1"/>
    </i>
    <i r="1">
      <x v="2"/>
    </i>
    <i r="2">
      <x v="5"/>
    </i>
    <i r="1">
      <x v="3"/>
    </i>
    <i r="2">
      <x v="6"/>
    </i>
    <i>
      <x v="2"/>
    </i>
    <i r="1">
      <x v="4"/>
    </i>
    <i r="2">
      <x v="7"/>
    </i>
    <i r="2">
      <x v="8"/>
    </i>
    <i r="1">
      <x v="5"/>
    </i>
    <i r="2">
      <x v="9"/>
    </i>
    <i t="grand">
      <x/>
    </i>
  </rowItems>
  <colFields count="1">
    <field x="-2"/>
  </colFields>
  <colItems count="2">
    <i>
      <x/>
    </i>
    <i i="1">
      <x v="1"/>
    </i>
  </colItems>
  <pageFields count="1">
    <pageField fld="1" hier="5" name="[CoA].[IS or BS].&amp;[BS]" cap="BS"/>
  </pageFields>
  <dataFields count="2">
    <dataField fld="4" subtotal="count" baseField="2" baseItem="0" numFmtId="4"/>
    <dataField fld="5" subtotal="count" baseField="0" baseItem="0"/>
  </dataFields>
  <pivotHierarchies count="28">
    <pivotHierarchy dragToData="1"/>
    <pivotHierarchy dragToData="1"/>
    <pivotHierarchy multipleItemSelectionAllowed="1" dragToData="1"/>
    <pivotHierarchy dragToData="1"/>
    <pivotHierarchy dragToData="1"/>
    <pivotHierarchy multipleItemSelectionAllowed="1" dragToData="1">
      <members count="1" level="1">
        <member name="[CoA].[IS or BS].&amp;[B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3">
    <rowHierarchyUsage hierarchyUsage="12"/>
    <rowHierarchyUsage hierarchyUsage="7"/>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
        <x15:activeTabTopLevelEntity name="[CoA 1]"/>
        <x15:activeTabTopLevelEntity name="[CoA]"/>
        <x15:activeTabTopLevelEntity name="[Calendar]"/>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703FAE-D39A-4A47-8673-4D6ADD438D04}" name="PivotTable4" cacheId="674" applyNumberFormats="0" applyBorderFormats="0" applyFontFormats="0" applyPatternFormats="0" applyAlignmentFormats="0" applyWidthHeightFormats="1" dataCaption="Values" tag="8a03f6c2-cd22-4413-b059-269302a9665a" updatedVersion="8" minRefreshableVersion="3" subtotalHiddenItems="1" itemPrintTitles="1" createdVersion="8" indent="0" outline="1" outlineData="1" multipleFieldFilters="0" rowHeaderCaption="Accounts">
  <location ref="B7:F27" firstHeaderRow="0" firstDataRow="1" firstDataCol="1" rowPageCount="1" colPageCount="1"/>
  <pivotFields count="9">
    <pivotField axis="axisRow" allDrilled="1" showAll="0" dataSourceSort="1" defaultAttributeDrillState="1">
      <items count="4">
        <item x="0"/>
        <item x="1"/>
        <item x="2"/>
        <item t="default"/>
      </items>
    </pivotField>
    <pivotField axis="axisPage" allDrilled="1" showAll="0" dataSourceSort="1" defaultAttributeDrillState="1">
      <items count="1">
        <item t="default"/>
      </items>
    </pivotField>
    <pivotField axis="axisRow" allDrilled="1" showAll="0" dataSourceSort="1" defaultAttributeDrillState="1">
      <items count="7">
        <item x="0"/>
        <item x="1"/>
        <item x="2"/>
        <item x="3"/>
        <item x="4"/>
        <item x="5"/>
        <item t="default"/>
      </items>
    </pivotField>
    <pivotField axis="axisRow" allDrilled="1" showAll="0" dataSourceSort="1" defaultAttributeDrillState="1">
      <items count="11">
        <item x="0"/>
        <item x="1"/>
        <item x="2"/>
        <item x="3"/>
        <item x="4"/>
        <item x="5"/>
        <item x="6"/>
        <item x="7"/>
        <item x="8"/>
        <item x="9"/>
        <item t="default"/>
      </items>
    </pivotField>
    <pivotField dataField="1" subtotalTop="0" showAll="0" defaultSubtotal="0"/>
    <pivotField dataField="1" subtotalTop="0" showAll="0" defaultSubtotal="0"/>
    <pivotField dataField="1" showAll="0"/>
    <pivotField allDrilled="1" showAll="0" dataSourceSort="1"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3">
    <field x="0"/>
    <field x="2"/>
    <field x="3"/>
  </rowFields>
  <rowItems count="20">
    <i>
      <x/>
    </i>
    <i r="1">
      <x/>
    </i>
    <i r="2">
      <x/>
    </i>
    <i r="2">
      <x v="1"/>
    </i>
    <i r="2">
      <x v="2"/>
    </i>
    <i r="1">
      <x v="1"/>
    </i>
    <i r="2">
      <x v="3"/>
    </i>
    <i r="2">
      <x v="4"/>
    </i>
    <i>
      <x v="1"/>
    </i>
    <i r="1">
      <x v="2"/>
    </i>
    <i r="2">
      <x v="5"/>
    </i>
    <i r="1">
      <x v="3"/>
    </i>
    <i r="2">
      <x v="6"/>
    </i>
    <i>
      <x v="2"/>
    </i>
    <i r="1">
      <x v="4"/>
    </i>
    <i r="2">
      <x v="7"/>
    </i>
    <i r="2">
      <x v="8"/>
    </i>
    <i r="1">
      <x v="5"/>
    </i>
    <i r="2">
      <x v="9"/>
    </i>
    <i t="grand">
      <x/>
    </i>
  </rowItems>
  <colFields count="1">
    <field x="-2"/>
  </colFields>
  <colItems count="4">
    <i>
      <x/>
    </i>
    <i i="1">
      <x v="1"/>
    </i>
    <i i="2">
      <x v="2"/>
    </i>
    <i i="3">
      <x v="3"/>
    </i>
  </colItems>
  <pageFields count="1">
    <pageField fld="1" hier="5" name="[CoA].[IS or BS].&amp;[BS]" cap="BS"/>
  </pageFields>
  <dataFields count="4">
    <dataField fld="4" subtotal="count" baseField="2" baseItem="0" numFmtId="4"/>
    <dataField fld="5" subtotal="count" baseField="0" baseItem="0"/>
    <dataField fld="6" subtotal="count" baseField="0" baseItem="0"/>
    <dataField name="Variance2" fld="8" subtotal="count" baseField="0" baseItem="0">
      <extLst>
        <ext xmlns:x14="http://schemas.microsoft.com/office/spreadsheetml/2009/9/main" uri="{E15A36E0-9728-4e99-A89B-3F7291B0FE68}">
          <x14:dataField sourceField="6" uniqueName="[__Xl2].[Measures].[Variance]"/>
        </ext>
      </extLst>
    </dataField>
  </dataFields>
  <formats count="48">
    <format dxfId="47">
      <pivotArea type="all" dataOnly="0" outline="0" fieldPosition="0"/>
    </format>
    <format dxfId="46">
      <pivotArea outline="0" collapsedLevelsAreSubtotals="1" fieldPosition="0"/>
    </format>
    <format dxfId="45">
      <pivotArea field="0" type="button" dataOnly="0" labelOnly="1" outline="0" axis="axisRow" fieldPosition="0"/>
    </format>
    <format dxfId="44">
      <pivotArea dataOnly="0" labelOnly="1" fieldPosition="0">
        <references count="1">
          <reference field="0" count="0"/>
        </references>
      </pivotArea>
    </format>
    <format dxfId="43">
      <pivotArea dataOnly="0" labelOnly="1" grandRow="1" outline="0" fieldPosition="0"/>
    </format>
    <format dxfId="42">
      <pivotArea dataOnly="0" labelOnly="1" fieldPosition="0">
        <references count="2">
          <reference field="0" count="1" selected="0">
            <x v="0"/>
          </reference>
          <reference field="2" count="2">
            <x v="0"/>
            <x v="1"/>
          </reference>
        </references>
      </pivotArea>
    </format>
    <format dxfId="41">
      <pivotArea dataOnly="0" labelOnly="1" fieldPosition="0">
        <references count="2">
          <reference field="0" count="1" selected="0">
            <x v="1"/>
          </reference>
          <reference field="2" count="2">
            <x v="2"/>
            <x v="3"/>
          </reference>
        </references>
      </pivotArea>
    </format>
    <format dxfId="40">
      <pivotArea dataOnly="0" labelOnly="1" fieldPosition="0">
        <references count="2">
          <reference field="0" count="1" selected="0">
            <x v="2"/>
          </reference>
          <reference field="2" count="2">
            <x v="4"/>
            <x v="5"/>
          </reference>
        </references>
      </pivotArea>
    </format>
    <format dxfId="39">
      <pivotArea dataOnly="0" labelOnly="1" fieldPosition="0">
        <references count="3">
          <reference field="0" count="1" selected="0">
            <x v="0"/>
          </reference>
          <reference field="2" count="1" selected="0">
            <x v="0"/>
          </reference>
          <reference field="3" count="3">
            <x v="0"/>
            <x v="1"/>
            <x v="2"/>
          </reference>
        </references>
      </pivotArea>
    </format>
    <format dxfId="38">
      <pivotArea dataOnly="0" labelOnly="1" fieldPosition="0">
        <references count="3">
          <reference field="0" count="1" selected="0">
            <x v="0"/>
          </reference>
          <reference field="2" count="1" selected="0">
            <x v="1"/>
          </reference>
          <reference field="3" count="2">
            <x v="3"/>
            <x v="4"/>
          </reference>
        </references>
      </pivotArea>
    </format>
    <format dxfId="37">
      <pivotArea dataOnly="0" labelOnly="1" fieldPosition="0">
        <references count="3">
          <reference field="0" count="1" selected="0">
            <x v="1"/>
          </reference>
          <reference field="2" count="1" selected="0">
            <x v="2"/>
          </reference>
          <reference field="3" count="1">
            <x v="5"/>
          </reference>
        </references>
      </pivotArea>
    </format>
    <format dxfId="36">
      <pivotArea dataOnly="0" labelOnly="1" fieldPosition="0">
        <references count="3">
          <reference field="0" count="1" selected="0">
            <x v="1"/>
          </reference>
          <reference field="2" count="1" selected="0">
            <x v="3"/>
          </reference>
          <reference field="3" count="1">
            <x v="6"/>
          </reference>
        </references>
      </pivotArea>
    </format>
    <format dxfId="35">
      <pivotArea dataOnly="0" labelOnly="1" fieldPosition="0">
        <references count="3">
          <reference field="0" count="1" selected="0">
            <x v="2"/>
          </reference>
          <reference field="2" count="1" selected="0">
            <x v="4"/>
          </reference>
          <reference field="3" count="2">
            <x v="7"/>
            <x v="8"/>
          </reference>
        </references>
      </pivotArea>
    </format>
    <format dxfId="34">
      <pivotArea dataOnly="0" labelOnly="1" fieldPosition="0">
        <references count="3">
          <reference field="0" count="1" selected="0">
            <x v="2"/>
          </reference>
          <reference field="2" count="1" selected="0">
            <x v="5"/>
          </reference>
          <reference field="3" count="1">
            <x v="9"/>
          </reference>
        </references>
      </pivotArea>
    </format>
    <format dxfId="33">
      <pivotArea dataOnly="0" labelOnly="1" outline="0" fieldPosition="0">
        <references count="1">
          <reference field="4294967294" count="2">
            <x v="0"/>
            <x v="1"/>
          </reference>
        </references>
      </pivotArea>
    </format>
    <format dxfId="32">
      <pivotArea type="all" dataOnly="0" outline="0" fieldPosition="0"/>
    </format>
    <format dxfId="31">
      <pivotArea outline="0" collapsedLevelsAreSubtotals="1" fieldPosition="0"/>
    </format>
    <format dxfId="30">
      <pivotArea field="0" type="button" dataOnly="0" labelOnly="1" outline="0" axis="axisRow" fieldPosition="0"/>
    </format>
    <format dxfId="29">
      <pivotArea dataOnly="0" labelOnly="1" fieldPosition="0">
        <references count="1">
          <reference field="0" count="0"/>
        </references>
      </pivotArea>
    </format>
    <format dxfId="28">
      <pivotArea dataOnly="0" labelOnly="1" grandRow="1" outline="0" fieldPosition="0"/>
    </format>
    <format dxfId="27">
      <pivotArea dataOnly="0" labelOnly="1" fieldPosition="0">
        <references count="2">
          <reference field="0" count="1" selected="0">
            <x v="0"/>
          </reference>
          <reference field="2" count="2">
            <x v="0"/>
            <x v="1"/>
          </reference>
        </references>
      </pivotArea>
    </format>
    <format dxfId="26">
      <pivotArea dataOnly="0" labelOnly="1" fieldPosition="0">
        <references count="2">
          <reference field="0" count="1" selected="0">
            <x v="1"/>
          </reference>
          <reference field="2" count="2">
            <x v="2"/>
            <x v="3"/>
          </reference>
        </references>
      </pivotArea>
    </format>
    <format dxfId="25">
      <pivotArea dataOnly="0" labelOnly="1" fieldPosition="0">
        <references count="2">
          <reference field="0" count="1" selected="0">
            <x v="2"/>
          </reference>
          <reference field="2" count="2">
            <x v="4"/>
            <x v="5"/>
          </reference>
        </references>
      </pivotArea>
    </format>
    <format dxfId="24">
      <pivotArea dataOnly="0" labelOnly="1" fieldPosition="0">
        <references count="3">
          <reference field="0" count="1" selected="0">
            <x v="0"/>
          </reference>
          <reference field="2" count="1" selected="0">
            <x v="0"/>
          </reference>
          <reference field="3" count="3">
            <x v="0"/>
            <x v="1"/>
            <x v="2"/>
          </reference>
        </references>
      </pivotArea>
    </format>
    <format dxfId="23">
      <pivotArea dataOnly="0" labelOnly="1" fieldPosition="0">
        <references count="3">
          <reference field="0" count="1" selected="0">
            <x v="0"/>
          </reference>
          <reference field="2" count="1" selected="0">
            <x v="1"/>
          </reference>
          <reference field="3" count="2">
            <x v="3"/>
            <x v="4"/>
          </reference>
        </references>
      </pivotArea>
    </format>
    <format dxfId="22">
      <pivotArea dataOnly="0" labelOnly="1" fieldPosition="0">
        <references count="3">
          <reference field="0" count="1" selected="0">
            <x v="1"/>
          </reference>
          <reference field="2" count="1" selected="0">
            <x v="2"/>
          </reference>
          <reference field="3" count="1">
            <x v="5"/>
          </reference>
        </references>
      </pivotArea>
    </format>
    <format dxfId="21">
      <pivotArea dataOnly="0" labelOnly="1" fieldPosition="0">
        <references count="3">
          <reference field="0" count="1" selected="0">
            <x v="1"/>
          </reference>
          <reference field="2" count="1" selected="0">
            <x v="3"/>
          </reference>
          <reference field="3" count="1">
            <x v="6"/>
          </reference>
        </references>
      </pivotArea>
    </format>
    <format dxfId="20">
      <pivotArea dataOnly="0" labelOnly="1" fieldPosition="0">
        <references count="3">
          <reference field="0" count="1" selected="0">
            <x v="2"/>
          </reference>
          <reference field="2" count="1" selected="0">
            <x v="4"/>
          </reference>
          <reference field="3" count="2">
            <x v="7"/>
            <x v="8"/>
          </reference>
        </references>
      </pivotArea>
    </format>
    <format dxfId="19">
      <pivotArea dataOnly="0" labelOnly="1" fieldPosition="0">
        <references count="3">
          <reference field="0" count="1" selected="0">
            <x v="2"/>
          </reference>
          <reference field="2" count="1" selected="0">
            <x v="5"/>
          </reference>
          <reference field="3" count="1">
            <x v="9"/>
          </reference>
        </references>
      </pivotArea>
    </format>
    <format dxfId="18">
      <pivotArea dataOnly="0" labelOnly="1" outline="0" fieldPosition="0">
        <references count="1">
          <reference field="4294967294" count="2">
            <x v="0"/>
            <x v="1"/>
          </reference>
        </references>
      </pivotArea>
    </format>
    <format dxfId="17">
      <pivotArea type="all" dataOnly="0" outline="0" fieldPosition="0"/>
    </format>
    <format dxfId="16">
      <pivotArea outline="0" collapsedLevelsAreSubtotals="1" fieldPosition="0"/>
    </format>
    <format dxfId="15">
      <pivotArea field="0" type="button" dataOnly="0" labelOnly="1" outline="0" axis="axisRow" fieldPosition="0"/>
    </format>
    <format dxfId="14">
      <pivotArea dataOnly="0" labelOnly="1" fieldPosition="0">
        <references count="1">
          <reference field="0" count="0"/>
        </references>
      </pivotArea>
    </format>
    <format dxfId="13">
      <pivotArea dataOnly="0" labelOnly="1" grandRow="1" outline="0" fieldPosition="0"/>
    </format>
    <format dxfId="12">
      <pivotArea dataOnly="0" labelOnly="1" fieldPosition="0">
        <references count="2">
          <reference field="0" count="1" selected="0">
            <x v="0"/>
          </reference>
          <reference field="2" count="2">
            <x v="0"/>
            <x v="1"/>
          </reference>
        </references>
      </pivotArea>
    </format>
    <format dxfId="11">
      <pivotArea dataOnly="0" labelOnly="1" fieldPosition="0">
        <references count="2">
          <reference field="0" count="1" selected="0">
            <x v="1"/>
          </reference>
          <reference field="2" count="2">
            <x v="2"/>
            <x v="3"/>
          </reference>
        </references>
      </pivotArea>
    </format>
    <format dxfId="10">
      <pivotArea dataOnly="0" labelOnly="1" fieldPosition="0">
        <references count="2">
          <reference field="0" count="1" selected="0">
            <x v="2"/>
          </reference>
          <reference field="2" count="2">
            <x v="4"/>
            <x v="5"/>
          </reference>
        </references>
      </pivotArea>
    </format>
    <format dxfId="9">
      <pivotArea dataOnly="0" labelOnly="1" fieldPosition="0">
        <references count="3">
          <reference field="0" count="1" selected="0">
            <x v="0"/>
          </reference>
          <reference field="2" count="1" selected="0">
            <x v="0"/>
          </reference>
          <reference field="3" count="3">
            <x v="0"/>
            <x v="1"/>
            <x v="2"/>
          </reference>
        </references>
      </pivotArea>
    </format>
    <format dxfId="8">
      <pivotArea dataOnly="0" labelOnly="1" fieldPosition="0">
        <references count="3">
          <reference field="0" count="1" selected="0">
            <x v="0"/>
          </reference>
          <reference field="2" count="1" selected="0">
            <x v="1"/>
          </reference>
          <reference field="3" count="2">
            <x v="3"/>
            <x v="4"/>
          </reference>
        </references>
      </pivotArea>
    </format>
    <format dxfId="7">
      <pivotArea dataOnly="0" labelOnly="1" fieldPosition="0">
        <references count="3">
          <reference field="0" count="1" selected="0">
            <x v="1"/>
          </reference>
          <reference field="2" count="1" selected="0">
            <x v="2"/>
          </reference>
          <reference field="3" count="1">
            <x v="5"/>
          </reference>
        </references>
      </pivotArea>
    </format>
    <format dxfId="6">
      <pivotArea dataOnly="0" labelOnly="1" fieldPosition="0">
        <references count="3">
          <reference field="0" count="1" selected="0">
            <x v="1"/>
          </reference>
          <reference field="2" count="1" selected="0">
            <x v="3"/>
          </reference>
          <reference field="3" count="1">
            <x v="6"/>
          </reference>
        </references>
      </pivotArea>
    </format>
    <format dxfId="5">
      <pivotArea dataOnly="0" labelOnly="1" fieldPosition="0">
        <references count="3">
          <reference field="0" count="1" selected="0">
            <x v="2"/>
          </reference>
          <reference field="2" count="1" selected="0">
            <x v="4"/>
          </reference>
          <reference field="3" count="2">
            <x v="7"/>
            <x v="8"/>
          </reference>
        </references>
      </pivotArea>
    </format>
    <format dxfId="4">
      <pivotArea dataOnly="0" labelOnly="1" fieldPosition="0">
        <references count="3">
          <reference field="0" count="1" selected="0">
            <x v="2"/>
          </reference>
          <reference field="2" count="1" selected="0">
            <x v="5"/>
          </reference>
          <reference field="3" count="1">
            <x v="9"/>
          </reference>
        </references>
      </pivotArea>
    </format>
    <format dxfId="3">
      <pivotArea dataOnly="0" labelOnly="1" outline="0" fieldPosition="0">
        <references count="1">
          <reference field="4294967294" count="2">
            <x v="0"/>
            <x v="1"/>
          </reference>
        </references>
      </pivotArea>
    </format>
    <format dxfId="2">
      <pivotArea field="0" type="button" dataOnly="0" labelOnly="1" outline="0" axis="axisRow" fieldPosition="0"/>
    </format>
    <format dxfId="1">
      <pivotArea dataOnly="0" labelOnly="1" outline="0" fieldPosition="0">
        <references count="1">
          <reference field="4294967294" count="4">
            <x v="0"/>
            <x v="1"/>
            <x v="2"/>
            <x v="3"/>
          </reference>
        </references>
      </pivotArea>
    </format>
    <format dxfId="0">
      <pivotArea dataOnly="0" labelOnly="1" outline="0" fieldPosition="0">
        <references count="1">
          <reference field="4294967294" count="1">
            <x v="3"/>
          </reference>
        </references>
      </pivotArea>
    </format>
  </formats>
  <conditionalFormats count="1">
    <conditionalFormat priority="2">
      <pivotAreas count="15">
        <pivotArea type="data" collapsedLevelsAreSubtotals="1" fieldPosition="0">
          <references count="3">
            <reference field="4294967294" count="1" selected="0">
              <x v="3"/>
            </reference>
            <reference field="0" count="1" selected="0">
              <x v="0"/>
            </reference>
            <reference field="2" count="1">
              <x v="0"/>
            </reference>
          </references>
        </pivotArea>
        <pivotArea type="data" collapsedLevelsAreSubtotals="1" fieldPosition="0">
          <references count="2">
            <reference field="4294967294" count="1" selected="0">
              <x v="3"/>
            </reference>
            <reference field="0" count="1">
              <x v="0"/>
            </reference>
          </references>
        </pivotArea>
        <pivotArea type="data" collapsedLevelsAreSubtotals="1" fieldPosition="0">
          <references count="4">
            <reference field="4294967294" count="1" selected="0">
              <x v="3"/>
            </reference>
            <reference field="0" count="1" selected="0">
              <x v="0"/>
            </reference>
            <reference field="2" count="1" selected="0">
              <x v="0"/>
            </reference>
            <reference field="3" count="3">
              <x v="0"/>
              <x v="1"/>
              <x v="2"/>
            </reference>
          </references>
        </pivotArea>
        <pivotArea type="data" collapsedLevelsAreSubtotals="1" fieldPosition="0">
          <references count="3">
            <reference field="4294967294" count="1" selected="0">
              <x v="3"/>
            </reference>
            <reference field="0" count="1" selected="0">
              <x v="0"/>
            </reference>
            <reference field="2" count="1">
              <x v="1"/>
            </reference>
          </references>
        </pivotArea>
        <pivotArea type="data" collapsedLevelsAreSubtotals="1" fieldPosition="0">
          <references count="4">
            <reference field="4294967294" count="1" selected="0">
              <x v="3"/>
            </reference>
            <reference field="0" count="1" selected="0">
              <x v="0"/>
            </reference>
            <reference field="2" count="1" selected="0">
              <x v="1"/>
            </reference>
            <reference field="3" count="2">
              <x v="3"/>
              <x v="4"/>
            </reference>
          </references>
        </pivotArea>
        <pivotArea type="data" collapsedLevelsAreSubtotals="1" fieldPosition="0">
          <references count="2">
            <reference field="4294967294" count="1" selected="0">
              <x v="3"/>
            </reference>
            <reference field="0" count="1">
              <x v="1"/>
            </reference>
          </references>
        </pivotArea>
        <pivotArea type="data" collapsedLevelsAreSubtotals="1" fieldPosition="0">
          <references count="3">
            <reference field="4294967294" count="1" selected="0">
              <x v="3"/>
            </reference>
            <reference field="0" count="1" selected="0">
              <x v="1"/>
            </reference>
            <reference field="2" count="1">
              <x v="2"/>
            </reference>
          </references>
        </pivotArea>
        <pivotArea type="data" collapsedLevelsAreSubtotals="1" fieldPosition="0">
          <references count="4">
            <reference field="4294967294" count="1" selected="0">
              <x v="3"/>
            </reference>
            <reference field="0" count="1" selected="0">
              <x v="1"/>
            </reference>
            <reference field="2" count="1" selected="0">
              <x v="2"/>
            </reference>
            <reference field="3" count="1">
              <x v="5"/>
            </reference>
          </references>
        </pivotArea>
        <pivotArea type="data" collapsedLevelsAreSubtotals="1" fieldPosition="0">
          <references count="3">
            <reference field="4294967294" count="1" selected="0">
              <x v="3"/>
            </reference>
            <reference field="0" count="1" selected="0">
              <x v="1"/>
            </reference>
            <reference field="2" count="1">
              <x v="3"/>
            </reference>
          </references>
        </pivotArea>
        <pivotArea type="data" collapsedLevelsAreSubtotals="1" fieldPosition="0">
          <references count="4">
            <reference field="4294967294" count="1" selected="0">
              <x v="3"/>
            </reference>
            <reference field="0" count="1" selected="0">
              <x v="1"/>
            </reference>
            <reference field="2" count="1" selected="0">
              <x v="3"/>
            </reference>
            <reference field="3" count="1">
              <x v="6"/>
            </reference>
          </references>
        </pivotArea>
        <pivotArea type="data" collapsedLevelsAreSubtotals="1" fieldPosition="0">
          <references count="2">
            <reference field="4294967294" count="1" selected="0">
              <x v="3"/>
            </reference>
            <reference field="0" count="1">
              <x v="2"/>
            </reference>
          </references>
        </pivotArea>
        <pivotArea type="data" collapsedLevelsAreSubtotals="1" fieldPosition="0">
          <references count="3">
            <reference field="4294967294" count="1" selected="0">
              <x v="3"/>
            </reference>
            <reference field="0" count="1" selected="0">
              <x v="2"/>
            </reference>
            <reference field="2" count="1">
              <x v="4"/>
            </reference>
          </references>
        </pivotArea>
        <pivotArea type="data" collapsedLevelsAreSubtotals="1" fieldPosition="0">
          <references count="4">
            <reference field="4294967294" count="1" selected="0">
              <x v="3"/>
            </reference>
            <reference field="0" count="1" selected="0">
              <x v="2"/>
            </reference>
            <reference field="2" count="1" selected="0">
              <x v="4"/>
            </reference>
            <reference field="3" count="2">
              <x v="7"/>
              <x v="8"/>
            </reference>
          </references>
        </pivotArea>
        <pivotArea type="data" collapsedLevelsAreSubtotals="1" fieldPosition="0">
          <references count="3">
            <reference field="4294967294" count="1" selected="0">
              <x v="3"/>
            </reference>
            <reference field="0" count="1" selected="0">
              <x v="2"/>
            </reference>
            <reference field="2" count="1">
              <x v="5"/>
            </reference>
          </references>
        </pivotArea>
        <pivotArea type="data" collapsedLevelsAreSubtotals="1" fieldPosition="0">
          <references count="4">
            <reference field="4294967294" count="1" selected="0">
              <x v="3"/>
            </reference>
            <reference field="0" count="1" selected="0">
              <x v="2"/>
            </reference>
            <reference field="2" count="1" selected="0">
              <x v="5"/>
            </reference>
            <reference field="3" count="1">
              <x v="9"/>
            </reference>
          </references>
        </pivotArea>
      </pivotAreas>
    </conditionalFormat>
  </conditionalFormats>
  <pivotHierarchies count="29">
    <pivotHierarchy dragToData="1"/>
    <pivotHierarchy dragToData="1"/>
    <pivotHierarchy multipleItemSelectionAllowed="1" dragToData="1"/>
    <pivotHierarchy dragToData="1"/>
    <pivotHierarchy dragToData="1"/>
    <pivotHierarchy multipleItemSelectionAllowed="1" dragToData="1">
      <members count="1" level="1">
        <member name="[CoA].[IS or BS].&amp;[B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 showRowHeaders="1" showColHeaders="1" showRowStripes="0" showColStripes="0" showLastColumn="1"/>
  <rowHierarchiesUsage count="3">
    <rowHierarchyUsage hierarchyUsage="12"/>
    <rowHierarchyUsage hierarchyUsage="7"/>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
        <x15:activeTabTopLevelEntity name="[CoA 1]"/>
        <x15:activeTabTopLevelEntity name="[CoA]"/>
        <x15:activeTabTopLevelEntity name="[Calendar]"/>
      </x15:pivotTableUISettings>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FF763E8D-5D3F-4DE9-B6FC-AB6D2D2D96D9}" sourceName="[Calendar].[Month Name]">
  <pivotTables>
    <pivotTable tabId="4" name="PivotTable2"/>
    <pivotTable tabId="6" name="PivotTable4"/>
  </pivotTables>
  <data>
    <olap pivotCacheId="510475435">
      <levels count="2">
        <level uniqueName="[Calendar].[Month Name].[(All)]" sourceCaption="(All)" count="0"/>
        <level uniqueName="[Calendar].[Month Name].[Month Name]" sourceCaption="Month Name" count="12">
          <ranges>
            <range startItem="0">
              <i n="[Calendar].[Month Name].&amp;[Jan]" c="Jan"/>
              <i n="[Calendar].[Month Name].&amp;[Feb]" c="Feb"/>
              <i n="[Calendar].[Month Name].&amp;[Mar]" c="Mar"/>
              <i n="[Calendar].[Month Name].&amp;[Apr]" c="Apr"/>
              <i n="[Calendar].[Month Name].&amp;[May]" c="May"/>
              <i n="[Calendar].[Month Name].&amp;[Jun]" c="Jun"/>
              <i n="[Calendar].[Month Name].&amp;[Jul]" c="Jul"/>
              <i n="[Calendar].[Month Name].&amp;[Aug]" c="Aug"/>
              <i n="[Calendar].[Month Name].&amp;[Sep]" c="Sep"/>
              <i n="[Calendar].[Month Name].&amp;[Oct]" c="Oct"/>
              <i n="[Calendar].[Month Name].&amp;[Nov]" c="Nov"/>
              <i n="[Calendar].[Month Name].&amp;[Dec]" c="Dec"/>
            </range>
          </ranges>
        </level>
      </levels>
      <selections count="1">
        <selection n="[Calendar].[Month 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xr10:uid="{05ED1110-5BB8-48BE-BC6B-9E6BB8705812}" cache="Slicer_Month_Name" caption="Month Wise Data" columnCount="12" level="1" style="Pavanan"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422024F-6DF7-447B-A236-B7E628E889B8}" name="TB" displayName="TB" ref="A2:N40" totalsRowShown="0" headerRowDxfId="63" headerRowBorderDxfId="62" tableBorderDxfId="61">
  <autoFilter ref="A2:N40" xr:uid="{6C6428DA-159F-46DF-A3FB-CD104A5D83A9}"/>
  <tableColumns count="14">
    <tableColumn id="1" xr3:uid="{C241EE9E-8191-4680-B488-FB656B228C93}" name="Account Code"/>
    <tableColumn id="2" xr3:uid="{E56DC643-A9AA-4AEA-A606-C64444575B28}" name="Account"/>
    <tableColumn id="3" xr3:uid="{7D2A3D2C-DE3C-4ABB-B80B-3C75A350F198}" name="Jan-23" dataDxfId="60"/>
    <tableColumn id="4" xr3:uid="{1F427475-2397-40B7-A1A0-9586C725F89E}" name="Feb-23" dataDxfId="59"/>
    <tableColumn id="5" xr3:uid="{C24A73F6-3965-4DD5-B40F-6E7F4A1856C7}" name="Mar-23" dataDxfId="58"/>
    <tableColumn id="6" xr3:uid="{848FFE41-2A55-4B77-AB68-F5896F107F06}" name="Apr-23" dataDxfId="57"/>
    <tableColumn id="7" xr3:uid="{CDB3E26C-AFEB-41E9-9A52-B4B8B4A80C09}" name="May-23" dataDxfId="56"/>
    <tableColumn id="8" xr3:uid="{71A847B0-2F8C-4991-A920-B57421035AA0}" name="Jun-23" dataDxfId="55"/>
    <tableColumn id="9" xr3:uid="{4B5803D2-73D7-4DF4-8F05-4E40978FBB5C}" name="Jul-23" dataDxfId="54"/>
    <tableColumn id="10" xr3:uid="{332E449B-C28B-41E4-B8E4-A69AE5FE5772}" name="Aug-23" dataDxfId="53"/>
    <tableColumn id="11" xr3:uid="{0B10F67E-BB59-475B-B76B-AAECE589257E}" name="Sep-23" dataDxfId="52"/>
    <tableColumn id="12" xr3:uid="{90C1A0B7-F3F5-47E9-AFB2-1FB2AC75EEB2}" name="Oct-23" dataDxfId="51"/>
    <tableColumn id="13" xr3:uid="{47D7FEFB-E2F5-4F02-8C3C-A05A51DEB1BF}" name="Nov-23" dataDxfId="50"/>
    <tableColumn id="14" xr3:uid="{1FC77F84-331C-4BFA-8EDE-928720A57072}" name="Dec-23" dataDxfId="49"/>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0C79A5F-B661-481C-94B0-764449E7A742}" name="CoA" displayName="CoA" ref="A1:F39" totalsRowShown="0" dataCellStyle="Normal 2">
  <autoFilter ref="A1:F39" xr:uid="{8C6E8EB9-6C44-4D13-B91A-876A91741303}"/>
  <tableColumns count="6">
    <tableColumn id="1" xr3:uid="{9406CEE0-0C4C-4953-92D0-C5E3D6DC489C}" name="Account Code" dataCellStyle="Normal 2"/>
    <tableColumn id="2" xr3:uid="{382203E9-1E53-42DF-B664-795D344E1DD7}" name="Account" dataCellStyle="Normal 2"/>
    <tableColumn id="3" xr3:uid="{0F0A114C-FD41-417F-A935-773C9EF4EDB2}" name="IS or BS" dataCellStyle="Normal 2"/>
    <tableColumn id="4" xr3:uid="{9A4122F9-ED0E-422A-BC7F-3C0FDC4476EF}" name="Category" dataCellStyle="Normal 2"/>
    <tableColumn id="6" xr3:uid="{CDD97E67-8818-4591-9CF7-D90308E3A3E1}" name="Sub-Category" dataCellStyle="Normal 2"/>
    <tableColumn id="5" xr3:uid="{E60E50B2-282D-4195-AE6B-C01AF3660705}" name="Debit or Credit" dataCellStyle="Normal 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89B52-9281-4D9A-B744-9F9C416D28C6}">
  <dimension ref="A2:N41"/>
  <sheetViews>
    <sheetView workbookViewId="0">
      <selection activeCell="K15" sqref="K15"/>
    </sheetView>
  </sheetViews>
  <sheetFormatPr defaultRowHeight="14.4" x14ac:dyDescent="0.3"/>
  <cols>
    <col min="1" max="1" width="17.77734375" bestFit="1" customWidth="1"/>
    <col min="2" max="2" width="26.77734375" bestFit="1" customWidth="1"/>
    <col min="3" max="14" width="12.44140625" bestFit="1" customWidth="1"/>
  </cols>
  <sheetData>
    <row r="2" spans="1:14" x14ac:dyDescent="0.3">
      <c r="A2" s="1" t="s">
        <v>0</v>
      </c>
      <c r="B2" s="1" t="s">
        <v>1</v>
      </c>
      <c r="C2" s="2" t="s">
        <v>2</v>
      </c>
      <c r="D2" s="2" t="s">
        <v>3</v>
      </c>
      <c r="E2" s="2" t="s">
        <v>4</v>
      </c>
      <c r="F2" s="2" t="s">
        <v>5</v>
      </c>
      <c r="G2" s="2" t="s">
        <v>6</v>
      </c>
      <c r="H2" s="2" t="s">
        <v>7</v>
      </c>
      <c r="I2" s="2" t="s">
        <v>8</v>
      </c>
      <c r="J2" s="2" t="s">
        <v>9</v>
      </c>
      <c r="K2" s="2" t="s">
        <v>10</v>
      </c>
      <c r="L2" s="2" t="s">
        <v>11</v>
      </c>
      <c r="M2" s="2" t="s">
        <v>12</v>
      </c>
      <c r="N2" s="2" t="s">
        <v>13</v>
      </c>
    </row>
    <row r="3" spans="1:14" x14ac:dyDescent="0.3">
      <c r="A3">
        <v>1000</v>
      </c>
      <c r="B3" t="s">
        <v>14</v>
      </c>
      <c r="C3" s="3">
        <v>-915000</v>
      </c>
      <c r="D3" s="3">
        <v>-1020000</v>
      </c>
      <c r="E3" s="3">
        <v>-960000</v>
      </c>
      <c r="F3" s="3">
        <v>-963000</v>
      </c>
      <c r="G3" s="3">
        <v>-915000</v>
      </c>
      <c r="H3" s="3">
        <v>-960000</v>
      </c>
      <c r="I3" s="3">
        <v>-945000</v>
      </c>
      <c r="J3" s="3">
        <v>-900000</v>
      </c>
      <c r="K3" s="3">
        <v>-960000</v>
      </c>
      <c r="L3" s="3">
        <v>-990000</v>
      </c>
      <c r="M3" s="3">
        <v>-984000</v>
      </c>
      <c r="N3" s="3">
        <v>-930000</v>
      </c>
    </row>
    <row r="4" spans="1:14" x14ac:dyDescent="0.3">
      <c r="A4">
        <v>2000</v>
      </c>
      <c r="B4" t="s">
        <v>15</v>
      </c>
      <c r="C4" s="3">
        <v>600000</v>
      </c>
      <c r="D4" s="3">
        <v>652800</v>
      </c>
      <c r="E4" s="3">
        <v>624000</v>
      </c>
      <c r="F4" s="3">
        <v>616320</v>
      </c>
      <c r="G4" s="3">
        <v>576450</v>
      </c>
      <c r="H4" s="3">
        <v>604800</v>
      </c>
      <c r="I4" s="3">
        <v>595350</v>
      </c>
      <c r="J4" s="3">
        <v>567000</v>
      </c>
      <c r="K4" s="3">
        <v>604800</v>
      </c>
      <c r="L4" s="3">
        <v>623700</v>
      </c>
      <c r="M4" s="3">
        <v>619920</v>
      </c>
      <c r="N4" s="3">
        <v>585900</v>
      </c>
    </row>
    <row r="5" spans="1:14" x14ac:dyDescent="0.3">
      <c r="A5">
        <v>3010</v>
      </c>
      <c r="B5" t="s">
        <v>16</v>
      </c>
      <c r="C5" s="3">
        <v>6000</v>
      </c>
      <c r="D5" s="3">
        <v>6000</v>
      </c>
      <c r="E5" s="3">
        <v>6000</v>
      </c>
      <c r="F5" s="3">
        <v>6000</v>
      </c>
      <c r="G5" s="3">
        <v>6000</v>
      </c>
      <c r="H5" s="3">
        <v>6000</v>
      </c>
      <c r="I5" s="3">
        <v>6000</v>
      </c>
      <c r="J5" s="3">
        <v>6000</v>
      </c>
      <c r="K5" s="3">
        <v>6000</v>
      </c>
      <c r="L5" s="3">
        <v>6000</v>
      </c>
      <c r="M5" s="3">
        <v>6000</v>
      </c>
      <c r="N5" s="3">
        <v>6000</v>
      </c>
    </row>
    <row r="6" spans="1:14" x14ac:dyDescent="0.3">
      <c r="A6">
        <v>3020</v>
      </c>
      <c r="B6" t="s">
        <v>17</v>
      </c>
      <c r="C6" s="3">
        <v>15000</v>
      </c>
      <c r="D6" s="3">
        <v>15000</v>
      </c>
      <c r="E6" s="3">
        <v>30000</v>
      </c>
      <c r="F6" s="3">
        <v>15000</v>
      </c>
      <c r="G6" s="3">
        <v>15000</v>
      </c>
      <c r="H6" s="3">
        <v>75000</v>
      </c>
      <c r="I6" s="3">
        <v>15000</v>
      </c>
      <c r="J6" s="3">
        <v>15000</v>
      </c>
      <c r="K6" s="3">
        <v>129000</v>
      </c>
      <c r="L6" s="3">
        <v>39000</v>
      </c>
      <c r="M6" s="3">
        <v>15000</v>
      </c>
      <c r="N6" s="3">
        <v>15000</v>
      </c>
    </row>
    <row r="7" spans="1:14" x14ac:dyDescent="0.3">
      <c r="A7">
        <v>3030</v>
      </c>
      <c r="B7" t="s">
        <v>18</v>
      </c>
      <c r="C7" s="3">
        <v>750</v>
      </c>
      <c r="D7" s="3">
        <v>750</v>
      </c>
      <c r="E7" s="3">
        <v>750</v>
      </c>
      <c r="F7" s="3">
        <v>750</v>
      </c>
      <c r="G7" s="3">
        <v>750</v>
      </c>
      <c r="H7" s="3">
        <v>750</v>
      </c>
      <c r="I7" s="3">
        <v>750</v>
      </c>
      <c r="J7" s="3">
        <v>750</v>
      </c>
      <c r="K7" s="3">
        <v>750</v>
      </c>
      <c r="L7" s="3">
        <v>750</v>
      </c>
      <c r="M7" s="3">
        <v>750</v>
      </c>
      <c r="N7" s="3">
        <v>750</v>
      </c>
    </row>
    <row r="8" spans="1:14" x14ac:dyDescent="0.3">
      <c r="A8">
        <v>3040</v>
      </c>
      <c r="B8" t="s">
        <v>19</v>
      </c>
      <c r="C8" s="3">
        <v>1500</v>
      </c>
      <c r="D8" s="3">
        <v>1500</v>
      </c>
      <c r="E8" s="3">
        <v>2400</v>
      </c>
      <c r="F8" s="3">
        <v>2400</v>
      </c>
      <c r="G8" s="3">
        <v>2400</v>
      </c>
      <c r="H8" s="3">
        <v>2580</v>
      </c>
      <c r="I8" s="3">
        <v>2580</v>
      </c>
      <c r="J8" s="3">
        <v>2580</v>
      </c>
      <c r="K8" s="3">
        <v>2580</v>
      </c>
      <c r="L8" s="3">
        <v>2580</v>
      </c>
      <c r="M8" s="3">
        <v>2580</v>
      </c>
      <c r="N8" s="3">
        <v>2580</v>
      </c>
    </row>
    <row r="9" spans="1:14" x14ac:dyDescent="0.3">
      <c r="A9">
        <v>3050</v>
      </c>
      <c r="B9" t="s">
        <v>20</v>
      </c>
      <c r="C9" s="3">
        <v>0</v>
      </c>
      <c r="D9" s="3">
        <v>0</v>
      </c>
      <c r="E9" s="3">
        <v>0</v>
      </c>
      <c r="F9" s="3">
        <v>11400</v>
      </c>
      <c r="G9" s="3">
        <v>0</v>
      </c>
      <c r="H9" s="3">
        <v>0</v>
      </c>
      <c r="I9" s="3">
        <v>0</v>
      </c>
      <c r="J9" s="3">
        <v>0</v>
      </c>
      <c r="K9" s="3">
        <v>0</v>
      </c>
      <c r="L9" s="3">
        <v>0</v>
      </c>
      <c r="M9" s="3">
        <v>0</v>
      </c>
      <c r="N9" s="3">
        <v>12600</v>
      </c>
    </row>
    <row r="10" spans="1:14" x14ac:dyDescent="0.3">
      <c r="A10">
        <v>3060</v>
      </c>
      <c r="B10" t="s">
        <v>21</v>
      </c>
      <c r="C10" s="3">
        <v>3750</v>
      </c>
      <c r="D10" s="3">
        <v>0</v>
      </c>
      <c r="E10" s="3">
        <v>0</v>
      </c>
      <c r="F10" s="3">
        <v>0</v>
      </c>
      <c r="G10" s="3">
        <v>6900</v>
      </c>
      <c r="H10" s="3">
        <v>2340</v>
      </c>
      <c r="I10" s="3">
        <v>600</v>
      </c>
      <c r="J10" s="3">
        <v>0</v>
      </c>
      <c r="K10" s="3">
        <v>0</v>
      </c>
      <c r="L10" s="3">
        <v>2277</v>
      </c>
      <c r="M10" s="3">
        <v>0</v>
      </c>
      <c r="N10" s="3">
        <v>0</v>
      </c>
    </row>
    <row r="11" spans="1:14" x14ac:dyDescent="0.3">
      <c r="A11">
        <v>3070</v>
      </c>
      <c r="B11" t="s">
        <v>22</v>
      </c>
      <c r="C11" s="3">
        <v>3000</v>
      </c>
      <c r="D11" s="3">
        <v>3000</v>
      </c>
      <c r="E11" s="3">
        <v>3000</v>
      </c>
      <c r="F11" s="3">
        <v>3000</v>
      </c>
      <c r="G11" s="3">
        <v>3000</v>
      </c>
      <c r="H11" s="3">
        <v>3600</v>
      </c>
      <c r="I11" s="3">
        <v>3600</v>
      </c>
      <c r="J11" s="3">
        <v>3600</v>
      </c>
      <c r="K11" s="3">
        <v>3600</v>
      </c>
      <c r="L11" s="3">
        <v>3600</v>
      </c>
      <c r="M11" s="3">
        <v>3600</v>
      </c>
      <c r="N11" s="3">
        <v>3600</v>
      </c>
    </row>
    <row r="12" spans="1:14" x14ac:dyDescent="0.3">
      <c r="A12">
        <v>3080</v>
      </c>
      <c r="B12" t="s">
        <v>23</v>
      </c>
      <c r="C12" s="3">
        <v>0</v>
      </c>
      <c r="D12" s="3">
        <v>0</v>
      </c>
      <c r="E12" s="3">
        <v>0</v>
      </c>
      <c r="F12" s="3">
        <v>0</v>
      </c>
      <c r="G12" s="3">
        <v>0</v>
      </c>
      <c r="H12" s="3">
        <v>0</v>
      </c>
      <c r="I12" s="3">
        <v>0</v>
      </c>
      <c r="J12" s="3">
        <v>36000</v>
      </c>
      <c r="K12" s="3">
        <v>0</v>
      </c>
      <c r="L12" s="3">
        <v>0</v>
      </c>
      <c r="M12" s="3">
        <v>0</v>
      </c>
      <c r="N12" s="3">
        <v>0</v>
      </c>
    </row>
    <row r="13" spans="1:14" x14ac:dyDescent="0.3">
      <c r="A13">
        <v>3090</v>
      </c>
      <c r="B13" t="s">
        <v>24</v>
      </c>
      <c r="C13" s="3">
        <v>0</v>
      </c>
      <c r="D13" s="3">
        <v>0</v>
      </c>
      <c r="E13" s="3">
        <v>0</v>
      </c>
      <c r="F13" s="3">
        <v>0</v>
      </c>
      <c r="G13" s="3">
        <v>54000</v>
      </c>
      <c r="H13" s="3">
        <v>0</v>
      </c>
      <c r="I13" s="3">
        <v>0</v>
      </c>
      <c r="J13" s="3">
        <v>0</v>
      </c>
      <c r="K13" s="3">
        <v>0</v>
      </c>
      <c r="L13" s="3">
        <v>0</v>
      </c>
      <c r="M13" s="3">
        <v>0</v>
      </c>
      <c r="N13" s="3">
        <v>0</v>
      </c>
    </row>
    <row r="14" spans="1:14" x14ac:dyDescent="0.3">
      <c r="A14">
        <v>3100</v>
      </c>
      <c r="B14" t="s">
        <v>25</v>
      </c>
      <c r="C14" s="3">
        <v>6000</v>
      </c>
      <c r="D14" s="3">
        <v>6000</v>
      </c>
      <c r="E14" s="3">
        <v>6000</v>
      </c>
      <c r="F14" s="3">
        <v>6000</v>
      </c>
      <c r="G14" s="3">
        <v>6000</v>
      </c>
      <c r="H14" s="3">
        <v>6000</v>
      </c>
      <c r="I14" s="3">
        <v>6900</v>
      </c>
      <c r="J14" s="3">
        <v>6900</v>
      </c>
      <c r="K14" s="3">
        <v>6900</v>
      </c>
      <c r="L14" s="3">
        <v>6900</v>
      </c>
      <c r="M14" s="3">
        <v>6900</v>
      </c>
      <c r="N14" s="3">
        <v>6900</v>
      </c>
    </row>
    <row r="15" spans="1:14" x14ac:dyDescent="0.3">
      <c r="A15">
        <v>3110</v>
      </c>
      <c r="B15" t="s">
        <v>26</v>
      </c>
      <c r="C15" s="3">
        <v>0</v>
      </c>
      <c r="D15" s="3">
        <v>0</v>
      </c>
      <c r="E15" s="3">
        <v>0</v>
      </c>
      <c r="F15" s="3">
        <v>222000</v>
      </c>
      <c r="G15" s="3">
        <v>0</v>
      </c>
      <c r="H15" s="3">
        <v>0</v>
      </c>
      <c r="I15" s="3">
        <v>0</v>
      </c>
      <c r="J15" s="3">
        <v>0</v>
      </c>
      <c r="K15" s="3">
        <v>0</v>
      </c>
      <c r="L15" s="3">
        <v>0</v>
      </c>
      <c r="M15" s="3">
        <v>0</v>
      </c>
      <c r="N15" s="3">
        <v>0</v>
      </c>
    </row>
    <row r="16" spans="1:14" x14ac:dyDescent="0.3">
      <c r="A16">
        <v>3120</v>
      </c>
      <c r="B16" t="s">
        <v>27</v>
      </c>
      <c r="C16" s="3">
        <v>0</v>
      </c>
      <c r="D16" s="3">
        <v>0</v>
      </c>
      <c r="E16" s="3">
        <v>0</v>
      </c>
      <c r="F16" s="3">
        <v>0</v>
      </c>
      <c r="G16" s="3">
        <v>0</v>
      </c>
      <c r="H16" s="3">
        <v>0</v>
      </c>
      <c r="I16" s="3">
        <v>5400</v>
      </c>
      <c r="J16" s="3">
        <v>0</v>
      </c>
      <c r="K16" s="3">
        <v>0</v>
      </c>
      <c r="L16" s="3">
        <v>0</v>
      </c>
      <c r="M16" s="3">
        <v>0</v>
      </c>
      <c r="N16" s="3">
        <v>0</v>
      </c>
    </row>
    <row r="17" spans="1:14" x14ac:dyDescent="0.3">
      <c r="A17">
        <v>3130</v>
      </c>
      <c r="B17" t="s">
        <v>28</v>
      </c>
      <c r="C17" s="3">
        <v>300</v>
      </c>
      <c r="D17" s="3">
        <v>300</v>
      </c>
      <c r="E17" s="3">
        <v>300</v>
      </c>
      <c r="F17" s="3">
        <v>300</v>
      </c>
      <c r="G17" s="3">
        <v>300</v>
      </c>
      <c r="H17" s="3">
        <v>300</v>
      </c>
      <c r="I17" s="3">
        <v>300</v>
      </c>
      <c r="J17" s="3">
        <v>300</v>
      </c>
      <c r="K17" s="3">
        <v>300</v>
      </c>
      <c r="L17" s="3">
        <v>300</v>
      </c>
      <c r="M17" s="3">
        <v>300</v>
      </c>
      <c r="N17" s="3">
        <v>300</v>
      </c>
    </row>
    <row r="18" spans="1:14" x14ac:dyDescent="0.3">
      <c r="A18">
        <v>3140</v>
      </c>
      <c r="B18" t="s">
        <v>29</v>
      </c>
      <c r="C18" s="3">
        <v>900</v>
      </c>
      <c r="D18" s="3">
        <v>900</v>
      </c>
      <c r="E18" s="3">
        <v>900</v>
      </c>
      <c r="F18" s="3">
        <v>900</v>
      </c>
      <c r="G18" s="3">
        <v>900</v>
      </c>
      <c r="H18" s="3">
        <v>900</v>
      </c>
      <c r="I18" s="3">
        <v>900</v>
      </c>
      <c r="J18" s="3">
        <v>900</v>
      </c>
      <c r="K18" s="3">
        <v>900</v>
      </c>
      <c r="L18" s="3">
        <v>900</v>
      </c>
      <c r="M18" s="3">
        <v>900</v>
      </c>
      <c r="N18" s="3">
        <v>900</v>
      </c>
    </row>
    <row r="19" spans="1:14" x14ac:dyDescent="0.3">
      <c r="A19">
        <v>3150</v>
      </c>
      <c r="B19" t="s">
        <v>30</v>
      </c>
      <c r="C19" s="3">
        <v>0</v>
      </c>
      <c r="D19" s="3">
        <v>0</v>
      </c>
      <c r="E19" s="3">
        <v>0</v>
      </c>
      <c r="F19" s="3">
        <v>0</v>
      </c>
      <c r="G19" s="3">
        <v>0</v>
      </c>
      <c r="H19" s="3">
        <v>0</v>
      </c>
      <c r="I19" s="3">
        <v>0</v>
      </c>
      <c r="J19" s="3">
        <v>96000</v>
      </c>
      <c r="K19" s="3">
        <v>0</v>
      </c>
      <c r="L19" s="3">
        <v>0</v>
      </c>
      <c r="M19" s="3">
        <v>0</v>
      </c>
      <c r="N19" s="3">
        <v>0</v>
      </c>
    </row>
    <row r="20" spans="1:14" x14ac:dyDescent="0.3">
      <c r="A20">
        <v>3160</v>
      </c>
      <c r="B20" t="s">
        <v>31</v>
      </c>
      <c r="C20" s="3">
        <v>30000</v>
      </c>
      <c r="D20" s="3">
        <v>30000</v>
      </c>
      <c r="E20" s="3">
        <v>30000</v>
      </c>
      <c r="F20" s="3">
        <v>30000</v>
      </c>
      <c r="G20" s="3">
        <v>30000</v>
      </c>
      <c r="H20" s="3">
        <v>30000</v>
      </c>
      <c r="I20" s="3">
        <v>30000</v>
      </c>
      <c r="J20" s="3">
        <v>30000</v>
      </c>
      <c r="K20" s="3">
        <v>30000</v>
      </c>
      <c r="L20" s="3">
        <v>30000</v>
      </c>
      <c r="M20" s="3">
        <v>30000</v>
      </c>
      <c r="N20" s="3">
        <v>30000</v>
      </c>
    </row>
    <row r="21" spans="1:14" x14ac:dyDescent="0.3">
      <c r="A21">
        <v>3170</v>
      </c>
      <c r="B21" t="s">
        <v>32</v>
      </c>
      <c r="C21" s="3">
        <v>0</v>
      </c>
      <c r="D21" s="3">
        <v>0</v>
      </c>
      <c r="E21" s="3">
        <v>2400</v>
      </c>
      <c r="F21" s="3">
        <v>0</v>
      </c>
      <c r="G21" s="3">
        <v>0</v>
      </c>
      <c r="H21" s="3">
        <v>2340</v>
      </c>
      <c r="I21" s="3">
        <v>0</v>
      </c>
      <c r="J21" s="3">
        <v>0</v>
      </c>
      <c r="K21" s="3">
        <v>12900</v>
      </c>
      <c r="L21" s="3">
        <v>0</v>
      </c>
      <c r="M21" s="3">
        <v>0</v>
      </c>
      <c r="N21" s="3">
        <v>0</v>
      </c>
    </row>
    <row r="22" spans="1:14" x14ac:dyDescent="0.3">
      <c r="A22">
        <v>3180</v>
      </c>
      <c r="B22" t="s">
        <v>33</v>
      </c>
      <c r="C22" s="3">
        <v>68550</v>
      </c>
      <c r="D22" s="3">
        <v>68550</v>
      </c>
      <c r="E22" s="3">
        <v>68550</v>
      </c>
      <c r="F22" s="3">
        <v>68550</v>
      </c>
      <c r="G22" s="3">
        <v>68550</v>
      </c>
      <c r="H22" s="3">
        <v>68550</v>
      </c>
      <c r="I22" s="3">
        <v>68550</v>
      </c>
      <c r="J22" s="3">
        <v>68550</v>
      </c>
      <c r="K22" s="3">
        <v>68550</v>
      </c>
      <c r="L22" s="3">
        <v>68550</v>
      </c>
      <c r="M22" s="3">
        <v>68550</v>
      </c>
      <c r="N22" s="3">
        <v>68550</v>
      </c>
    </row>
    <row r="23" spans="1:14" x14ac:dyDescent="0.3">
      <c r="A23">
        <v>3190</v>
      </c>
      <c r="B23" t="s">
        <v>34</v>
      </c>
      <c r="C23" s="3">
        <v>975</v>
      </c>
      <c r="D23" s="3">
        <v>975</v>
      </c>
      <c r="E23" s="3">
        <v>975</v>
      </c>
      <c r="F23" s="3">
        <v>975</v>
      </c>
      <c r="G23" s="3">
        <v>975</v>
      </c>
      <c r="H23" s="3">
        <v>975</v>
      </c>
      <c r="I23" s="3">
        <v>975</v>
      </c>
      <c r="J23" s="3">
        <v>975</v>
      </c>
      <c r="K23" s="3">
        <v>975</v>
      </c>
      <c r="L23" s="3">
        <v>975</v>
      </c>
      <c r="M23" s="3">
        <v>975</v>
      </c>
      <c r="N23" s="3">
        <v>975</v>
      </c>
    </row>
    <row r="24" spans="1:14" x14ac:dyDescent="0.3">
      <c r="A24">
        <v>3200</v>
      </c>
      <c r="B24" t="s">
        <v>35</v>
      </c>
      <c r="C24" s="3">
        <v>0</v>
      </c>
      <c r="D24" s="3">
        <v>0</v>
      </c>
      <c r="E24" s="3">
        <v>0</v>
      </c>
      <c r="F24" s="3">
        <v>0</v>
      </c>
      <c r="G24" s="3">
        <v>0</v>
      </c>
      <c r="H24" s="3">
        <v>9600</v>
      </c>
      <c r="I24" s="3">
        <v>0</v>
      </c>
      <c r="J24" s="3">
        <v>0</v>
      </c>
      <c r="K24" s="3">
        <v>0</v>
      </c>
      <c r="L24" s="3">
        <v>0</v>
      </c>
      <c r="M24" s="3">
        <v>0</v>
      </c>
      <c r="N24" s="3">
        <v>0</v>
      </c>
    </row>
    <row r="25" spans="1:14" x14ac:dyDescent="0.3">
      <c r="A25">
        <v>3210</v>
      </c>
      <c r="B25" t="s">
        <v>36</v>
      </c>
      <c r="C25" s="3">
        <v>7530</v>
      </c>
      <c r="D25" s="3">
        <v>7530</v>
      </c>
      <c r="E25" s="3">
        <v>7530</v>
      </c>
      <c r="F25" s="3">
        <v>7530</v>
      </c>
      <c r="G25" s="3">
        <v>7530</v>
      </c>
      <c r="H25" s="3">
        <v>7530</v>
      </c>
      <c r="I25" s="3">
        <v>7530</v>
      </c>
      <c r="J25" s="3">
        <v>7530</v>
      </c>
      <c r="K25" s="3">
        <v>7530</v>
      </c>
      <c r="L25" s="3">
        <v>7530</v>
      </c>
      <c r="M25" s="3">
        <v>7530</v>
      </c>
      <c r="N25" s="3">
        <v>7530</v>
      </c>
    </row>
    <row r="26" spans="1:14" x14ac:dyDescent="0.3">
      <c r="A26">
        <v>3220</v>
      </c>
      <c r="B26" t="s">
        <v>37</v>
      </c>
      <c r="C26" s="3">
        <v>0</v>
      </c>
      <c r="D26" s="3">
        <v>0</v>
      </c>
      <c r="E26" s="3">
        <v>0</v>
      </c>
      <c r="F26" s="3">
        <v>0</v>
      </c>
      <c r="G26" s="3">
        <v>0</v>
      </c>
      <c r="H26" s="3">
        <v>0</v>
      </c>
      <c r="I26" s="3">
        <v>0</v>
      </c>
      <c r="J26" s="3">
        <v>36000</v>
      </c>
      <c r="K26" s="3">
        <v>0</v>
      </c>
      <c r="L26" s="3">
        <v>0</v>
      </c>
      <c r="M26" s="3">
        <v>0</v>
      </c>
      <c r="N26" s="3">
        <v>0</v>
      </c>
    </row>
    <row r="27" spans="1:14" x14ac:dyDescent="0.3">
      <c r="A27">
        <v>3230</v>
      </c>
      <c r="B27" t="s">
        <v>38</v>
      </c>
      <c r="C27" s="3">
        <v>0</v>
      </c>
      <c r="D27" s="3">
        <v>0</v>
      </c>
      <c r="E27" s="3">
        <v>0</v>
      </c>
      <c r="F27" s="3">
        <v>0</v>
      </c>
      <c r="G27" s="3">
        <v>0</v>
      </c>
      <c r="H27" s="3">
        <v>0</v>
      </c>
      <c r="I27" s="3">
        <v>7590</v>
      </c>
      <c r="J27" s="3">
        <v>0</v>
      </c>
      <c r="K27" s="3">
        <v>0</v>
      </c>
      <c r="L27" s="3">
        <v>0</v>
      </c>
      <c r="M27" s="3">
        <v>0</v>
      </c>
      <c r="N27" s="3">
        <v>0</v>
      </c>
    </row>
    <row r="28" spans="1:14" x14ac:dyDescent="0.3">
      <c r="A28">
        <v>4010</v>
      </c>
      <c r="B28" t="s">
        <v>39</v>
      </c>
      <c r="C28" s="3">
        <v>40000</v>
      </c>
      <c r="D28" s="3">
        <v>40000</v>
      </c>
      <c r="E28" s="3">
        <v>42500</v>
      </c>
      <c r="F28" s="3">
        <v>42500</v>
      </c>
      <c r="G28" s="3">
        <v>42500</v>
      </c>
      <c r="H28" s="3">
        <v>46250</v>
      </c>
      <c r="I28" s="3">
        <v>46250</v>
      </c>
      <c r="J28" s="3">
        <v>46250</v>
      </c>
      <c r="K28" s="3">
        <v>46250</v>
      </c>
      <c r="L28" s="3">
        <v>46250</v>
      </c>
      <c r="M28" s="3">
        <v>46250</v>
      </c>
      <c r="N28" s="3">
        <v>46250</v>
      </c>
    </row>
    <row r="29" spans="1:14" x14ac:dyDescent="0.3">
      <c r="A29">
        <v>5010</v>
      </c>
      <c r="B29" t="s">
        <v>40</v>
      </c>
      <c r="C29" s="3">
        <v>23375</v>
      </c>
      <c r="D29" s="3">
        <v>23060.999</v>
      </c>
      <c r="E29" s="3">
        <v>22744.773799999999</v>
      </c>
      <c r="F29" s="3">
        <v>22426.308700000001</v>
      </c>
      <c r="G29" s="3">
        <v>24230.587800000001</v>
      </c>
      <c r="H29" s="3">
        <v>23879.049599999998</v>
      </c>
      <c r="I29" s="3">
        <v>23525.0213</v>
      </c>
      <c r="J29" s="3">
        <v>23168.4853</v>
      </c>
      <c r="K29" s="3">
        <v>22809.423900000002</v>
      </c>
      <c r="L29" s="3">
        <v>22447.819100000001</v>
      </c>
      <c r="M29" s="3">
        <v>22083.652900000001</v>
      </c>
      <c r="N29" s="3">
        <v>21716.907299999999</v>
      </c>
    </row>
    <row r="30" spans="1:14" ht="15" thickBot="1" x14ac:dyDescent="0.35">
      <c r="A30" s="4">
        <v>6010</v>
      </c>
      <c r="B30" s="4" t="s">
        <v>41</v>
      </c>
      <c r="C30" s="5">
        <v>30063.599999999999</v>
      </c>
      <c r="D30" s="5">
        <v>45817.520299999996</v>
      </c>
      <c r="E30" s="5">
        <v>31346.063300000002</v>
      </c>
      <c r="F30" s="5">
        <v>-26054.366399999999</v>
      </c>
      <c r="G30" s="5">
        <v>19464.035400000001</v>
      </c>
      <c r="H30" s="5">
        <v>19209.666099999999</v>
      </c>
      <c r="I30" s="5">
        <v>34495.993999999999</v>
      </c>
      <c r="J30" s="5">
        <v>-13300.975899999999</v>
      </c>
      <c r="K30" s="5">
        <v>4523.5613000000003</v>
      </c>
      <c r="L30" s="5">
        <v>35907.250699999997</v>
      </c>
      <c r="M30" s="5">
        <v>42745.177199999998</v>
      </c>
      <c r="N30" s="5">
        <v>33725.466</v>
      </c>
    </row>
    <row r="31" spans="1:14" x14ac:dyDescent="0.3">
      <c r="A31">
        <v>10000</v>
      </c>
      <c r="B31" t="s">
        <v>42</v>
      </c>
      <c r="C31" s="3">
        <v>2850000</v>
      </c>
      <c r="D31" s="3">
        <v>2850000</v>
      </c>
      <c r="E31" s="3">
        <v>3000000</v>
      </c>
      <c r="F31" s="3">
        <v>3000000</v>
      </c>
      <c r="G31" s="3">
        <v>3000000</v>
      </c>
      <c r="H31" s="3">
        <v>3225000</v>
      </c>
      <c r="I31" s="3">
        <v>3225000</v>
      </c>
      <c r="J31" s="3">
        <v>3225000</v>
      </c>
      <c r="K31" s="3">
        <v>3225000</v>
      </c>
      <c r="L31" s="3">
        <v>3225000</v>
      </c>
      <c r="M31" s="3">
        <v>3225000</v>
      </c>
      <c r="N31" s="3">
        <v>3225000</v>
      </c>
    </row>
    <row r="32" spans="1:14" x14ac:dyDescent="0.3">
      <c r="A32">
        <v>15000</v>
      </c>
      <c r="B32" t="s">
        <v>43</v>
      </c>
      <c r="C32" s="3">
        <v>-490000</v>
      </c>
      <c r="D32" s="3">
        <v>-530000</v>
      </c>
      <c r="E32" s="3">
        <v>-572500</v>
      </c>
      <c r="F32" s="3">
        <v>-615000</v>
      </c>
      <c r="G32" s="3">
        <v>-657500</v>
      </c>
      <c r="H32" s="3">
        <v>-703750</v>
      </c>
      <c r="I32" s="3">
        <v>-750000</v>
      </c>
      <c r="J32" s="3">
        <v>-796250</v>
      </c>
      <c r="K32" s="3">
        <v>-842500</v>
      </c>
      <c r="L32" s="3">
        <v>-888750</v>
      </c>
      <c r="M32" s="3">
        <v>-935000</v>
      </c>
      <c r="N32" s="3">
        <v>-981250</v>
      </c>
    </row>
    <row r="33" spans="1:14" x14ac:dyDescent="0.3">
      <c r="A33">
        <v>20000</v>
      </c>
      <c r="B33" t="s">
        <v>44</v>
      </c>
      <c r="C33" s="3">
        <v>471774.19349999999</v>
      </c>
      <c r="D33" s="3">
        <v>544000</v>
      </c>
      <c r="E33" s="3">
        <v>503225.80650000001</v>
      </c>
      <c r="F33" s="3">
        <v>513600</v>
      </c>
      <c r="G33" s="3">
        <v>464879.03230000002</v>
      </c>
      <c r="H33" s="3">
        <v>487741.93550000002</v>
      </c>
      <c r="I33" s="3">
        <v>496125</v>
      </c>
      <c r="J33" s="3">
        <v>457258.06449999998</v>
      </c>
      <c r="K33" s="3">
        <v>504000</v>
      </c>
      <c r="L33" s="3">
        <v>502983.87099999998</v>
      </c>
      <c r="M33" s="3">
        <v>499935.48389999999</v>
      </c>
      <c r="N33" s="3">
        <v>523125</v>
      </c>
    </row>
    <row r="34" spans="1:14" x14ac:dyDescent="0.3">
      <c r="A34">
        <v>40000</v>
      </c>
      <c r="B34" t="s">
        <v>45</v>
      </c>
      <c r="C34" s="3">
        <v>870967.74190000002</v>
      </c>
      <c r="D34" s="3">
        <v>1020000</v>
      </c>
      <c r="E34" s="3">
        <v>929032.25809999998</v>
      </c>
      <c r="F34" s="3">
        <v>963000</v>
      </c>
      <c r="G34" s="3">
        <v>885483.87100000004</v>
      </c>
      <c r="H34" s="3">
        <v>929032.25809999998</v>
      </c>
      <c r="I34" s="3">
        <v>945000</v>
      </c>
      <c r="J34" s="3">
        <v>870967.74190000002</v>
      </c>
      <c r="K34" s="3">
        <v>960000</v>
      </c>
      <c r="L34" s="3">
        <v>958064.51610000001</v>
      </c>
      <c r="M34" s="3">
        <v>952258.06449999998</v>
      </c>
      <c r="N34" s="3">
        <v>996428.57140000002</v>
      </c>
    </row>
    <row r="35" spans="1:14" x14ac:dyDescent="0.3">
      <c r="A35">
        <v>30000</v>
      </c>
      <c r="B35" t="s">
        <v>46</v>
      </c>
      <c r="C35" s="3">
        <v>3631433.8336999998</v>
      </c>
      <c r="D35" s="3">
        <v>3612953.3931999998</v>
      </c>
      <c r="E35" s="3">
        <v>3686309.8881999999</v>
      </c>
      <c r="F35" s="3">
        <v>3664424.2864999999</v>
      </c>
      <c r="G35" s="3">
        <v>4034301.3059999999</v>
      </c>
      <c r="H35" s="3">
        <v>3708488.3390000002</v>
      </c>
      <c r="I35" s="3">
        <v>3781879.2294999999</v>
      </c>
      <c r="J35" s="3">
        <v>3891701.2489</v>
      </c>
      <c r="K35" s="3">
        <v>3779795.2039000001</v>
      </c>
      <c r="L35" s="3">
        <v>3852172.4813999999</v>
      </c>
      <c r="M35" s="3">
        <v>3993619.0976999998</v>
      </c>
      <c r="N35" s="3">
        <v>3930799.7995000002</v>
      </c>
    </row>
    <row r="36" spans="1:14" x14ac:dyDescent="0.3">
      <c r="A36">
        <v>80000</v>
      </c>
      <c r="B36" t="s">
        <v>47</v>
      </c>
      <c r="C36" s="3">
        <v>-3318270</v>
      </c>
      <c r="D36" s="3">
        <v>-3318270</v>
      </c>
      <c r="E36" s="3">
        <v>-3318270</v>
      </c>
      <c r="F36" s="3">
        <v>-3319770</v>
      </c>
      <c r="G36" s="3">
        <v>-3319770</v>
      </c>
      <c r="H36" s="3">
        <v>-3319770</v>
      </c>
      <c r="I36" s="3">
        <v>-3319770</v>
      </c>
      <c r="J36" s="3">
        <v>-3319770</v>
      </c>
      <c r="K36" s="3">
        <v>-3319770</v>
      </c>
      <c r="L36" s="3">
        <v>-3319770</v>
      </c>
      <c r="M36" s="3">
        <v>-3319770</v>
      </c>
      <c r="N36" s="3">
        <v>-3319770</v>
      </c>
    </row>
    <row r="37" spans="1:14" x14ac:dyDescent="0.3">
      <c r="A37">
        <v>90000</v>
      </c>
      <c r="B37" t="s">
        <v>48</v>
      </c>
      <c r="C37" s="6">
        <v>-300000</v>
      </c>
      <c r="D37" s="6">
        <v>-300000</v>
      </c>
      <c r="E37" s="6">
        <v>-300000</v>
      </c>
      <c r="F37" s="6">
        <v>-300000</v>
      </c>
      <c r="G37" s="6">
        <v>-300000</v>
      </c>
      <c r="H37" s="6">
        <v>-300000</v>
      </c>
      <c r="I37" s="6">
        <v>-300000</v>
      </c>
      <c r="J37" s="6">
        <v>-300000</v>
      </c>
      <c r="K37" s="6">
        <v>-300000</v>
      </c>
      <c r="L37" s="6">
        <v>-300000</v>
      </c>
      <c r="M37" s="6">
        <v>-300000</v>
      </c>
      <c r="N37" s="6">
        <v>-300000</v>
      </c>
    </row>
    <row r="38" spans="1:14" x14ac:dyDescent="0.3">
      <c r="A38">
        <v>70000</v>
      </c>
      <c r="B38" t="s">
        <v>49</v>
      </c>
      <c r="C38" s="3">
        <v>-3255670.4465999999</v>
      </c>
      <c r="D38" s="3">
        <v>-3211026.8922000001</v>
      </c>
      <c r="E38" s="3">
        <v>-3166067.1126999999</v>
      </c>
      <c r="F38" s="3">
        <v>-3120788.8679999998</v>
      </c>
      <c r="G38" s="3">
        <v>-3371159.9430999998</v>
      </c>
      <c r="H38" s="3">
        <v>-3321179.4799000002</v>
      </c>
      <c r="I38" s="3">
        <v>-3270844.9884000001</v>
      </c>
      <c r="J38" s="3">
        <v>-3220153.9610000001</v>
      </c>
      <c r="K38" s="3">
        <v>-3169103.8720999998</v>
      </c>
      <c r="L38" s="3">
        <v>-3117692.1784000001</v>
      </c>
      <c r="M38" s="3">
        <v>-3065916.3185000001</v>
      </c>
      <c r="N38" s="3">
        <v>-3013773.713</v>
      </c>
    </row>
    <row r="39" spans="1:14" x14ac:dyDescent="0.3">
      <c r="A39">
        <v>50000</v>
      </c>
      <c r="B39" t="s">
        <v>50</v>
      </c>
      <c r="C39" s="3">
        <v>-352865.32260000001</v>
      </c>
      <c r="D39" s="3">
        <v>-396652.5</v>
      </c>
      <c r="E39" s="3">
        <v>-378776.61290000001</v>
      </c>
      <c r="F39" s="3">
        <v>-495562.5</v>
      </c>
      <c r="G39" s="3">
        <v>-376816.93550000002</v>
      </c>
      <c r="H39" s="3">
        <v>-397386.29029999999</v>
      </c>
      <c r="I39" s="3">
        <v>-376012.5</v>
      </c>
      <c r="J39" s="3">
        <v>-424879.83870000002</v>
      </c>
      <c r="K39" s="3">
        <v>-437392.5</v>
      </c>
      <c r="L39" s="3">
        <v>-383739.67739999999</v>
      </c>
      <c r="M39" s="3">
        <v>-369195.96769999998</v>
      </c>
      <c r="N39" s="3">
        <v>-397277.67859999998</v>
      </c>
    </row>
    <row r="40" spans="1:14" x14ac:dyDescent="0.3">
      <c r="A40">
        <v>50100</v>
      </c>
      <c r="B40" t="s">
        <v>51</v>
      </c>
      <c r="C40" s="3">
        <v>-30063.599999999999</v>
      </c>
      <c r="D40" s="3">
        <v>-75881.120299999995</v>
      </c>
      <c r="E40" s="3">
        <v>-107227.1836</v>
      </c>
      <c r="F40" s="3">
        <v>-81172.817200000005</v>
      </c>
      <c r="G40" s="3">
        <v>-100636.8526</v>
      </c>
      <c r="H40" s="3">
        <v>0</v>
      </c>
      <c r="I40" s="3">
        <v>-34495.993999999999</v>
      </c>
      <c r="J40" s="3">
        <v>-21195.018100000001</v>
      </c>
      <c r="K40" s="3">
        <v>-25718.579399999999</v>
      </c>
      <c r="L40" s="3">
        <v>-61625.830099999999</v>
      </c>
      <c r="M40" s="3">
        <v>-104371.0073</v>
      </c>
      <c r="N40" s="3">
        <v>0</v>
      </c>
    </row>
    <row r="41" spans="1:14" x14ac:dyDescent="0.3">
      <c r="C41" s="7"/>
      <c r="D41" s="7"/>
      <c r="E41" s="7"/>
      <c r="F41" s="7"/>
      <c r="G41" s="7"/>
      <c r="H41" s="7"/>
      <c r="I41" s="7"/>
      <c r="J41" s="7"/>
      <c r="K41" s="7"/>
      <c r="L41" s="7"/>
      <c r="M41" s="7"/>
      <c r="N41" s="7"/>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30111-B137-47FF-8013-B547DA4491D3}">
  <dimension ref="A1:F39"/>
  <sheetViews>
    <sheetView workbookViewId="0">
      <selection activeCell="C10" sqref="C10"/>
    </sheetView>
  </sheetViews>
  <sheetFormatPr defaultColWidth="8.77734375" defaultRowHeight="13.2" x14ac:dyDescent="0.3"/>
  <cols>
    <col min="1" max="1" width="15.44140625" style="8" customWidth="1"/>
    <col min="2" max="2" width="28.5546875" style="8" customWidth="1"/>
    <col min="3" max="4" width="17.77734375" style="8" customWidth="1"/>
    <col min="5" max="5" width="20.5546875" style="8" bestFit="1" customWidth="1"/>
    <col min="6" max="6" width="17.77734375" style="8" customWidth="1"/>
    <col min="7" max="16384" width="8.77734375" style="8"/>
  </cols>
  <sheetData>
    <row r="1" spans="1:6" x14ac:dyDescent="0.3">
      <c r="A1" s="8" t="s">
        <v>0</v>
      </c>
      <c r="B1" s="8" t="s">
        <v>1</v>
      </c>
      <c r="C1" s="8" t="s">
        <v>52</v>
      </c>
      <c r="D1" s="8" t="s">
        <v>53</v>
      </c>
      <c r="E1" s="8" t="s">
        <v>54</v>
      </c>
      <c r="F1" s="8" t="s">
        <v>55</v>
      </c>
    </row>
    <row r="2" spans="1:6" x14ac:dyDescent="0.3">
      <c r="A2" s="8">
        <v>1000</v>
      </c>
      <c r="B2" s="8" t="s">
        <v>14</v>
      </c>
      <c r="C2" s="8" t="s">
        <v>56</v>
      </c>
      <c r="D2" s="8" t="s">
        <v>14</v>
      </c>
      <c r="E2" s="8" t="s">
        <v>14</v>
      </c>
      <c r="F2" s="8" t="s">
        <v>57</v>
      </c>
    </row>
    <row r="3" spans="1:6" x14ac:dyDescent="0.3">
      <c r="A3" s="8">
        <v>2000</v>
      </c>
      <c r="B3" s="8" t="s">
        <v>15</v>
      </c>
      <c r="C3" s="8" t="s">
        <v>56</v>
      </c>
      <c r="D3" s="8" t="s">
        <v>58</v>
      </c>
      <c r="E3" s="8" t="s">
        <v>15</v>
      </c>
      <c r="F3" s="8" t="s">
        <v>59</v>
      </c>
    </row>
    <row r="4" spans="1:6" x14ac:dyDescent="0.3">
      <c r="A4" s="8">
        <v>3010</v>
      </c>
      <c r="B4" s="8" t="s">
        <v>16</v>
      </c>
      <c r="C4" s="8" t="s">
        <v>56</v>
      </c>
      <c r="D4" s="8" t="s">
        <v>60</v>
      </c>
      <c r="E4" s="8" t="s">
        <v>61</v>
      </c>
      <c r="F4" s="8" t="s">
        <v>59</v>
      </c>
    </row>
    <row r="5" spans="1:6" x14ac:dyDescent="0.3">
      <c r="A5" s="8">
        <v>3020</v>
      </c>
      <c r="B5" s="8" t="s">
        <v>17</v>
      </c>
      <c r="C5" s="8" t="s">
        <v>56</v>
      </c>
      <c r="D5" s="8" t="s">
        <v>60</v>
      </c>
      <c r="E5" s="8" t="s">
        <v>62</v>
      </c>
      <c r="F5" s="8" t="s">
        <v>59</v>
      </c>
    </row>
    <row r="6" spans="1:6" x14ac:dyDescent="0.3">
      <c r="A6" s="8">
        <v>3030</v>
      </c>
      <c r="B6" s="8" t="s">
        <v>18</v>
      </c>
      <c r="C6" s="8" t="s">
        <v>56</v>
      </c>
      <c r="D6" s="8" t="s">
        <v>60</v>
      </c>
      <c r="E6" s="8" t="s">
        <v>63</v>
      </c>
      <c r="F6" s="8" t="s">
        <v>59</v>
      </c>
    </row>
    <row r="7" spans="1:6" x14ac:dyDescent="0.3">
      <c r="A7" s="8">
        <v>3040</v>
      </c>
      <c r="B7" s="8" t="s">
        <v>19</v>
      </c>
      <c r="C7" s="8" t="s">
        <v>56</v>
      </c>
      <c r="D7" s="8" t="s">
        <v>60</v>
      </c>
      <c r="E7" s="8" t="s">
        <v>62</v>
      </c>
      <c r="F7" s="8" t="s">
        <v>59</v>
      </c>
    </row>
    <row r="8" spans="1:6" x14ac:dyDescent="0.3">
      <c r="A8" s="8">
        <v>3050</v>
      </c>
      <c r="B8" s="8" t="s">
        <v>20</v>
      </c>
      <c r="C8" s="8" t="s">
        <v>56</v>
      </c>
      <c r="D8" s="8" t="s">
        <v>60</v>
      </c>
      <c r="E8" s="8" t="s">
        <v>20</v>
      </c>
      <c r="F8" s="8" t="s">
        <v>59</v>
      </c>
    </row>
    <row r="9" spans="1:6" x14ac:dyDescent="0.3">
      <c r="A9" s="8">
        <v>3060</v>
      </c>
      <c r="B9" s="8" t="s">
        <v>21</v>
      </c>
      <c r="C9" s="8" t="s">
        <v>56</v>
      </c>
      <c r="D9" s="8" t="s">
        <v>60</v>
      </c>
      <c r="E9" s="8" t="s">
        <v>61</v>
      </c>
      <c r="F9" s="8" t="s">
        <v>59</v>
      </c>
    </row>
    <row r="10" spans="1:6" x14ac:dyDescent="0.3">
      <c r="A10" s="8">
        <v>3070</v>
      </c>
      <c r="B10" s="8" t="s">
        <v>22</v>
      </c>
      <c r="C10" s="8" t="s">
        <v>56</v>
      </c>
      <c r="D10" s="8" t="s">
        <v>60</v>
      </c>
      <c r="E10" s="8" t="s">
        <v>61</v>
      </c>
      <c r="F10" s="8" t="s">
        <v>59</v>
      </c>
    </row>
    <row r="11" spans="1:6" x14ac:dyDescent="0.3">
      <c r="A11" s="8">
        <v>3080</v>
      </c>
      <c r="B11" s="8" t="s">
        <v>23</v>
      </c>
      <c r="C11" s="8" t="s">
        <v>56</v>
      </c>
      <c r="D11" s="8" t="s">
        <v>60</v>
      </c>
      <c r="E11" s="8" t="s">
        <v>61</v>
      </c>
      <c r="F11" s="8" t="s">
        <v>59</v>
      </c>
    </row>
    <row r="12" spans="1:6" x14ac:dyDescent="0.3">
      <c r="A12" s="8">
        <v>3090</v>
      </c>
      <c r="B12" s="8" t="s">
        <v>24</v>
      </c>
      <c r="C12" s="8" t="s">
        <v>56</v>
      </c>
      <c r="D12" s="8" t="s">
        <v>60</v>
      </c>
      <c r="E12" s="8" t="s">
        <v>61</v>
      </c>
      <c r="F12" s="8" t="s">
        <v>59</v>
      </c>
    </row>
    <row r="13" spans="1:6" x14ac:dyDescent="0.3">
      <c r="A13" s="8">
        <v>3100</v>
      </c>
      <c r="B13" s="8" t="s">
        <v>25</v>
      </c>
      <c r="C13" s="8" t="s">
        <v>56</v>
      </c>
      <c r="D13" s="8" t="s">
        <v>60</v>
      </c>
      <c r="E13" s="8" t="s">
        <v>61</v>
      </c>
      <c r="F13" s="8" t="s">
        <v>59</v>
      </c>
    </row>
    <row r="14" spans="1:6" x14ac:dyDescent="0.3">
      <c r="A14" s="8">
        <v>3110</v>
      </c>
      <c r="B14" s="8" t="s">
        <v>26</v>
      </c>
      <c r="C14" s="8" t="s">
        <v>56</v>
      </c>
      <c r="D14" s="8" t="s">
        <v>60</v>
      </c>
      <c r="E14" s="8" t="s">
        <v>61</v>
      </c>
      <c r="F14" s="8" t="s">
        <v>59</v>
      </c>
    </row>
    <row r="15" spans="1:6" x14ac:dyDescent="0.3">
      <c r="A15" s="8">
        <v>3120</v>
      </c>
      <c r="B15" s="8" t="s">
        <v>27</v>
      </c>
      <c r="C15" s="8" t="s">
        <v>56</v>
      </c>
      <c r="D15" s="8" t="s">
        <v>60</v>
      </c>
      <c r="E15" s="8" t="s">
        <v>61</v>
      </c>
      <c r="F15" s="8" t="s">
        <v>59</v>
      </c>
    </row>
    <row r="16" spans="1:6" x14ac:dyDescent="0.3">
      <c r="A16" s="8">
        <v>3130</v>
      </c>
      <c r="B16" s="8" t="s">
        <v>28</v>
      </c>
      <c r="C16" s="8" t="s">
        <v>56</v>
      </c>
      <c r="D16" s="8" t="s">
        <v>60</v>
      </c>
      <c r="E16" s="8" t="s">
        <v>61</v>
      </c>
      <c r="F16" s="8" t="s">
        <v>59</v>
      </c>
    </row>
    <row r="17" spans="1:6" x14ac:dyDescent="0.3">
      <c r="A17" s="8">
        <v>3140</v>
      </c>
      <c r="B17" s="8" t="s">
        <v>29</v>
      </c>
      <c r="C17" s="8" t="s">
        <v>56</v>
      </c>
      <c r="D17" s="8" t="s">
        <v>60</v>
      </c>
      <c r="E17" s="8" t="s">
        <v>61</v>
      </c>
      <c r="F17" s="8" t="s">
        <v>59</v>
      </c>
    </row>
    <row r="18" spans="1:6" x14ac:dyDescent="0.3">
      <c r="A18" s="8">
        <v>3150</v>
      </c>
      <c r="B18" s="8" t="s">
        <v>30</v>
      </c>
      <c r="C18" s="8" t="s">
        <v>56</v>
      </c>
      <c r="D18" s="8" t="s">
        <v>60</v>
      </c>
      <c r="E18" s="8" t="s">
        <v>61</v>
      </c>
      <c r="F18" s="8" t="s">
        <v>59</v>
      </c>
    </row>
    <row r="19" spans="1:6" x14ac:dyDescent="0.3">
      <c r="A19" s="8">
        <v>3160</v>
      </c>
      <c r="B19" s="8" t="s">
        <v>31</v>
      </c>
      <c r="C19" s="8" t="s">
        <v>56</v>
      </c>
      <c r="D19" s="8" t="s">
        <v>60</v>
      </c>
      <c r="E19" s="8" t="s">
        <v>61</v>
      </c>
      <c r="F19" s="8" t="s">
        <v>59</v>
      </c>
    </row>
    <row r="20" spans="1:6" x14ac:dyDescent="0.3">
      <c r="A20" s="8">
        <v>3170</v>
      </c>
      <c r="B20" s="8" t="s">
        <v>32</v>
      </c>
      <c r="C20" s="8" t="s">
        <v>56</v>
      </c>
      <c r="D20" s="8" t="s">
        <v>60</v>
      </c>
      <c r="E20" s="8" t="s">
        <v>61</v>
      </c>
      <c r="F20" s="8" t="s">
        <v>59</v>
      </c>
    </row>
    <row r="21" spans="1:6" x14ac:dyDescent="0.3">
      <c r="A21" s="8">
        <v>3180</v>
      </c>
      <c r="B21" s="8" t="s">
        <v>33</v>
      </c>
      <c r="C21" s="8" t="s">
        <v>56</v>
      </c>
      <c r="D21" s="8" t="s">
        <v>60</v>
      </c>
      <c r="E21" s="8" t="s">
        <v>61</v>
      </c>
      <c r="F21" s="8" t="s">
        <v>59</v>
      </c>
    </row>
    <row r="22" spans="1:6" x14ac:dyDescent="0.3">
      <c r="A22" s="8">
        <v>3190</v>
      </c>
      <c r="B22" s="8" t="s">
        <v>34</v>
      </c>
      <c r="C22" s="8" t="s">
        <v>56</v>
      </c>
      <c r="D22" s="8" t="s">
        <v>60</v>
      </c>
      <c r="E22" s="8" t="s">
        <v>61</v>
      </c>
      <c r="F22" s="8" t="s">
        <v>59</v>
      </c>
    </row>
    <row r="23" spans="1:6" x14ac:dyDescent="0.3">
      <c r="A23" s="8">
        <v>3200</v>
      </c>
      <c r="B23" s="8" t="s">
        <v>35</v>
      </c>
      <c r="C23" s="8" t="s">
        <v>56</v>
      </c>
      <c r="D23" s="8" t="s">
        <v>60</v>
      </c>
      <c r="E23" s="8" t="s">
        <v>61</v>
      </c>
      <c r="F23" s="8" t="s">
        <v>59</v>
      </c>
    </row>
    <row r="24" spans="1:6" x14ac:dyDescent="0.3">
      <c r="A24" s="8">
        <v>3210</v>
      </c>
      <c r="B24" s="8" t="s">
        <v>36</v>
      </c>
      <c r="C24" s="8" t="s">
        <v>56</v>
      </c>
      <c r="D24" s="8" t="s">
        <v>60</v>
      </c>
      <c r="E24" s="8" t="s">
        <v>61</v>
      </c>
      <c r="F24" s="8" t="s">
        <v>59</v>
      </c>
    </row>
    <row r="25" spans="1:6" x14ac:dyDescent="0.3">
      <c r="A25" s="8">
        <v>3220</v>
      </c>
      <c r="B25" s="8" t="s">
        <v>37</v>
      </c>
      <c r="C25" s="8" t="s">
        <v>56</v>
      </c>
      <c r="D25" s="8" t="s">
        <v>60</v>
      </c>
      <c r="E25" s="8" t="s">
        <v>61</v>
      </c>
      <c r="F25" s="8" t="s">
        <v>59</v>
      </c>
    </row>
    <row r="26" spans="1:6" x14ac:dyDescent="0.3">
      <c r="A26" s="8">
        <v>3230</v>
      </c>
      <c r="B26" s="8" t="s">
        <v>38</v>
      </c>
      <c r="C26" s="8" t="s">
        <v>56</v>
      </c>
      <c r="D26" s="8" t="s">
        <v>60</v>
      </c>
      <c r="E26" s="8" t="s">
        <v>61</v>
      </c>
      <c r="F26" s="8" t="s">
        <v>59</v>
      </c>
    </row>
    <row r="27" spans="1:6" x14ac:dyDescent="0.3">
      <c r="A27" s="8">
        <v>4010</v>
      </c>
      <c r="B27" s="8" t="s">
        <v>39</v>
      </c>
      <c r="C27" s="8" t="s">
        <v>56</v>
      </c>
      <c r="D27" s="8" t="s">
        <v>60</v>
      </c>
      <c r="E27" s="8" t="s">
        <v>39</v>
      </c>
      <c r="F27" s="8" t="s">
        <v>59</v>
      </c>
    </row>
    <row r="28" spans="1:6" x14ac:dyDescent="0.3">
      <c r="A28" s="8">
        <v>5010</v>
      </c>
      <c r="B28" s="8" t="s">
        <v>40</v>
      </c>
      <c r="C28" s="8" t="s">
        <v>56</v>
      </c>
      <c r="D28" s="8" t="s">
        <v>60</v>
      </c>
      <c r="E28" s="8" t="s">
        <v>63</v>
      </c>
      <c r="F28" s="8" t="s">
        <v>59</v>
      </c>
    </row>
    <row r="29" spans="1:6" x14ac:dyDescent="0.3">
      <c r="A29" s="8">
        <v>6010</v>
      </c>
      <c r="B29" s="8" t="s">
        <v>41</v>
      </c>
      <c r="C29" s="8" t="s">
        <v>56</v>
      </c>
      <c r="D29" s="8" t="s">
        <v>60</v>
      </c>
      <c r="E29" s="8" t="s">
        <v>64</v>
      </c>
      <c r="F29" s="8" t="s">
        <v>59</v>
      </c>
    </row>
    <row r="30" spans="1:6" x14ac:dyDescent="0.3">
      <c r="A30" s="8">
        <v>10000</v>
      </c>
      <c r="B30" s="8" t="s">
        <v>42</v>
      </c>
      <c r="C30" s="8" t="s">
        <v>65</v>
      </c>
      <c r="D30" s="8" t="s">
        <v>72</v>
      </c>
      <c r="E30" s="8" t="s">
        <v>66</v>
      </c>
      <c r="F30" s="8" t="s">
        <v>59</v>
      </c>
    </row>
    <row r="31" spans="1:6" x14ac:dyDescent="0.3">
      <c r="A31" s="8">
        <v>15000</v>
      </c>
      <c r="B31" s="8" t="s">
        <v>43</v>
      </c>
      <c r="C31" s="8" t="s">
        <v>65</v>
      </c>
      <c r="D31" s="8" t="s">
        <v>72</v>
      </c>
      <c r="E31" s="8" t="s">
        <v>66</v>
      </c>
      <c r="F31" s="8" t="s">
        <v>57</v>
      </c>
    </row>
    <row r="32" spans="1:6" x14ac:dyDescent="0.3">
      <c r="A32" s="8">
        <v>20000</v>
      </c>
      <c r="B32" s="8" t="s">
        <v>44</v>
      </c>
      <c r="C32" s="8" t="s">
        <v>65</v>
      </c>
      <c r="D32" s="8" t="s">
        <v>72</v>
      </c>
      <c r="E32" s="8" t="s">
        <v>67</v>
      </c>
      <c r="F32" s="8" t="s">
        <v>59</v>
      </c>
    </row>
    <row r="33" spans="1:6" x14ac:dyDescent="0.3">
      <c r="A33" s="8">
        <v>40000</v>
      </c>
      <c r="B33" s="8" t="s">
        <v>45</v>
      </c>
      <c r="C33" s="8" t="s">
        <v>65</v>
      </c>
      <c r="D33" s="8" t="s">
        <v>72</v>
      </c>
      <c r="E33" s="8" t="s">
        <v>67</v>
      </c>
      <c r="F33" s="8" t="s">
        <v>59</v>
      </c>
    </row>
    <row r="34" spans="1:6" x14ac:dyDescent="0.3">
      <c r="A34" s="8">
        <v>30000</v>
      </c>
      <c r="B34" s="8" t="s">
        <v>46</v>
      </c>
      <c r="C34" s="8" t="s">
        <v>65</v>
      </c>
      <c r="D34" s="8" t="s">
        <v>72</v>
      </c>
      <c r="E34" s="8" t="s">
        <v>67</v>
      </c>
      <c r="F34" s="8" t="s">
        <v>59</v>
      </c>
    </row>
    <row r="35" spans="1:6" x14ac:dyDescent="0.3">
      <c r="A35" s="8">
        <v>80000</v>
      </c>
      <c r="B35" s="8" t="s">
        <v>47</v>
      </c>
      <c r="C35" s="8" t="s">
        <v>65</v>
      </c>
      <c r="D35" s="8" t="s">
        <v>68</v>
      </c>
      <c r="E35" s="8" t="s">
        <v>69</v>
      </c>
      <c r="F35" s="8" t="s">
        <v>57</v>
      </c>
    </row>
    <row r="36" spans="1:6" x14ac:dyDescent="0.3">
      <c r="A36" s="8">
        <v>90000</v>
      </c>
      <c r="B36" s="8" t="s">
        <v>48</v>
      </c>
      <c r="C36" s="8" t="s">
        <v>65</v>
      </c>
      <c r="D36" s="8" t="s">
        <v>68</v>
      </c>
      <c r="E36" s="8" t="s">
        <v>48</v>
      </c>
      <c r="F36" s="8" t="s">
        <v>57</v>
      </c>
    </row>
    <row r="37" spans="1:6" x14ac:dyDescent="0.3">
      <c r="A37" s="8">
        <v>70000</v>
      </c>
      <c r="B37" s="8" t="s">
        <v>49</v>
      </c>
      <c r="C37" s="8" t="s">
        <v>65</v>
      </c>
      <c r="D37" s="8" t="s">
        <v>73</v>
      </c>
      <c r="E37" s="8" t="s">
        <v>70</v>
      </c>
      <c r="F37" s="8" t="s">
        <v>57</v>
      </c>
    </row>
    <row r="38" spans="1:6" x14ac:dyDescent="0.3">
      <c r="A38" s="8">
        <v>50000</v>
      </c>
      <c r="B38" s="8" t="s">
        <v>50</v>
      </c>
      <c r="C38" s="8" t="s">
        <v>65</v>
      </c>
      <c r="D38" s="8" t="s">
        <v>73</v>
      </c>
      <c r="E38" s="8" t="s">
        <v>71</v>
      </c>
      <c r="F38" s="8" t="s">
        <v>57</v>
      </c>
    </row>
    <row r="39" spans="1:6" x14ac:dyDescent="0.3">
      <c r="A39" s="8">
        <v>50100</v>
      </c>
      <c r="B39" s="8" t="s">
        <v>51</v>
      </c>
      <c r="C39" s="8" t="s">
        <v>65</v>
      </c>
      <c r="D39" s="8" t="s">
        <v>73</v>
      </c>
      <c r="E39" s="8" t="s">
        <v>71</v>
      </c>
      <c r="F39" s="8" t="s">
        <v>57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64331-865A-41AE-A240-79B1B8405E00}">
  <dimension ref="A3:N45"/>
  <sheetViews>
    <sheetView topLeftCell="A16" zoomScaleNormal="100" workbookViewId="0">
      <selection activeCell="J34" sqref="J34"/>
    </sheetView>
  </sheetViews>
  <sheetFormatPr defaultRowHeight="14.4" x14ac:dyDescent="0.3"/>
  <cols>
    <col min="2" max="2" width="28.21875" bestFit="1" customWidth="1"/>
    <col min="3" max="14" width="13.109375" bestFit="1" customWidth="1"/>
    <col min="15" max="15" width="14.33203125" bestFit="1" customWidth="1"/>
  </cols>
  <sheetData>
    <row r="3" spans="2:8" x14ac:dyDescent="0.3">
      <c r="B3" s="9" t="s">
        <v>52</v>
      </c>
      <c r="C3" t="s" vm="1">
        <v>65</v>
      </c>
    </row>
    <row r="5" spans="2:8" x14ac:dyDescent="0.3">
      <c r="B5" s="9" t="s">
        <v>74</v>
      </c>
      <c r="C5" t="s">
        <v>76</v>
      </c>
      <c r="D5" t="s">
        <v>77</v>
      </c>
      <c r="G5" t="str" vm="2">
        <f>CUBEMEMBER("ThisWorkbookDataModel","[Measures].[Current]")</f>
        <v>Current</v>
      </c>
      <c r="H5" t="str" vm="3">
        <f>CUBEMEMBER("ThisWorkbookDataModel","[Measures].[Previous]")</f>
        <v>Previous</v>
      </c>
    </row>
    <row r="6" spans="2:8" x14ac:dyDescent="0.3">
      <c r="B6" s="10" t="s">
        <v>72</v>
      </c>
      <c r="C6" s="7">
        <v>7694103.3708999995</v>
      </c>
      <c r="D6" s="7">
        <v>7735812.6460999995</v>
      </c>
      <c r="F6" t="str" vm="4">
        <f>CUBEMEMBER("ThisWorkbookDataModel","[CoA].[Sub-Category].[Current Assets]")</f>
        <v>Current Assets</v>
      </c>
      <c r="G6" vm="6">
        <f>CUBEVALUE("ThisWorkbookDataModel",G$5,$F6,Slicer_Month_Name)</f>
        <v>5450353.3709000004</v>
      </c>
      <c r="H6" vm="7">
        <f>CUBEVALUE("ThisWorkbookDataModel",H$5,$F6,Slicer_Month_Name)</f>
        <v>5445812.6460999995</v>
      </c>
    </row>
    <row r="7" spans="2:8" x14ac:dyDescent="0.3">
      <c r="B7" s="12" t="s">
        <v>67</v>
      </c>
      <c r="C7" s="7">
        <v>5450353.3709000004</v>
      </c>
      <c r="D7" s="7">
        <v>5445812.6460999995</v>
      </c>
      <c r="F7" t="str" vm="5">
        <f>CUBEMEMBER("ThisWorkbookDataModel","[CoA].[Sub-Category].[Current Liabilities]")</f>
        <v>Current Liabilities</v>
      </c>
      <c r="G7">
        <f>-CUBEVALUE("ThisWorkbookDataModel",G$5,$F7,Slicer_Month_Name)</f>
        <v>397277.67859999998</v>
      </c>
      <c r="H7">
        <f>-CUBEVALUE("ThisWorkbookDataModel",H$5,$F7,Slicer_Month_Name)</f>
        <v>473566.97499999998</v>
      </c>
    </row>
    <row r="8" spans="2:8" x14ac:dyDescent="0.3">
      <c r="B8" s="13" t="s">
        <v>46</v>
      </c>
      <c r="C8" s="7">
        <v>3930799.7995000002</v>
      </c>
      <c r="D8" s="7">
        <v>3993619.0976999998</v>
      </c>
      <c r="F8" t="s">
        <v>78</v>
      </c>
      <c r="G8" s="7">
        <f>SUM(G6,-G7)</f>
        <v>5053075.6923000002</v>
      </c>
      <c r="H8" s="7">
        <f>SUM(H6,-H7)</f>
        <v>4972245.6710999999</v>
      </c>
    </row>
    <row r="9" spans="2:8" x14ac:dyDescent="0.3">
      <c r="B9" s="13" t="s">
        <v>44</v>
      </c>
      <c r="C9" s="7">
        <v>523125</v>
      </c>
      <c r="D9" s="7">
        <v>499935.48389999999</v>
      </c>
    </row>
    <row r="10" spans="2:8" x14ac:dyDescent="0.3">
      <c r="B10" s="13" t="s">
        <v>45</v>
      </c>
      <c r="C10" s="7">
        <v>996428.57140000002</v>
      </c>
      <c r="D10" s="7">
        <v>952258.06449999998</v>
      </c>
    </row>
    <row r="11" spans="2:8" x14ac:dyDescent="0.3">
      <c r="B11" s="12" t="s">
        <v>66</v>
      </c>
      <c r="C11" s="7">
        <v>2243750</v>
      </c>
      <c r="D11" s="7">
        <v>2290000</v>
      </c>
      <c r="F11" t="str" vm="8">
        <f>CUBEMEMBER("ThisWorkbookDataModel","[CoA].[Category].[Assets]")</f>
        <v>Assets</v>
      </c>
      <c r="G11" vm="13">
        <f>CUBEVALUE("ThisWorkbookDataModel",G$5,$F11,Slicer_Month_Name)</f>
        <v>7694103.3708999995</v>
      </c>
      <c r="H11" vm="14">
        <f>CUBEVALUE("ThisWorkbookDataModel",H$5,$F11,Slicer_Month_Name)</f>
        <v>7735812.6460999995</v>
      </c>
    </row>
    <row r="12" spans="2:8" x14ac:dyDescent="0.3">
      <c r="B12" s="13" t="s">
        <v>43</v>
      </c>
      <c r="C12" s="7">
        <v>-981250</v>
      </c>
      <c r="D12" s="7">
        <v>-935000</v>
      </c>
      <c r="F12" t="str" vm="9">
        <f>CUBEMEMBER("ThisWorkbookDataModel","[CoA].[Category].[Liabilities]")</f>
        <v>Liabilities</v>
      </c>
      <c r="G12" vm="12">
        <f>CUBEVALUE("ThisWorkbookDataModel",G$5,$F12,Slicer_Month_Name)</f>
        <v>-3411051.3915999997</v>
      </c>
      <c r="H12" vm="11">
        <f>CUBEVALUE("ThisWorkbookDataModel",H$5,$F12,Slicer_Month_Name)</f>
        <v>-3539483.2935000001</v>
      </c>
    </row>
    <row r="13" spans="2:8" x14ac:dyDescent="0.3">
      <c r="B13" s="13" t="s">
        <v>42</v>
      </c>
      <c r="C13" s="7">
        <v>3225000</v>
      </c>
      <c r="D13" s="7">
        <v>3225000</v>
      </c>
      <c r="F13" t="str" vm="10">
        <f>CUBEMEMBER("ThisWorkbookDataModel","[CoA].[Category].[Equity]")</f>
        <v>Equity</v>
      </c>
      <c r="G13" s="7">
        <f>SUM(G11:G12)</f>
        <v>4283051.9792999998</v>
      </c>
      <c r="H13" s="7">
        <f>SUM(H11:H12)</f>
        <v>4196329.3525999989</v>
      </c>
    </row>
    <row r="14" spans="2:8" x14ac:dyDescent="0.3">
      <c r="B14" s="10" t="s">
        <v>68</v>
      </c>
      <c r="C14" s="7">
        <v>-4283051.9792999998</v>
      </c>
      <c r="D14" s="7">
        <v>-4196329.3525999999</v>
      </c>
    </row>
    <row r="15" spans="2:8" x14ac:dyDescent="0.3">
      <c r="B15" s="12" t="s">
        <v>48</v>
      </c>
      <c r="C15" s="7">
        <v>-963281.97930000012</v>
      </c>
      <c r="D15" s="7">
        <v>-876559.3526000001</v>
      </c>
      <c r="F15" t="s">
        <v>79</v>
      </c>
      <c r="G15" s="7">
        <f>SUM(G11:G12)-G13</f>
        <v>0</v>
      </c>
      <c r="H15" s="7">
        <f>SUM(H11:H12)-H13</f>
        <v>0</v>
      </c>
    </row>
    <row r="16" spans="2:8" x14ac:dyDescent="0.3">
      <c r="B16" s="13" t="s">
        <v>48</v>
      </c>
      <c r="C16" s="7">
        <v>-963281.97930000012</v>
      </c>
      <c r="D16" s="7">
        <v>-876559.3526000001</v>
      </c>
    </row>
    <row r="17" spans="1:14" x14ac:dyDescent="0.3">
      <c r="B17" s="12" t="s">
        <v>69</v>
      </c>
      <c r="C17" s="7">
        <v>-3319770</v>
      </c>
      <c r="D17" s="7">
        <v>-3319770</v>
      </c>
      <c r="F17" t="str" vm="15">
        <f>CUBEMEMBER("ThisWorkbookDataModel","[CoA].[Account].[Long Term Loans]")</f>
        <v>Long Term Loans</v>
      </c>
      <c r="G17" vm="16">
        <f>CUBEVALUE("ThisWorkbookDataModel",G$5,$F17,Slicer_Month_Name)</f>
        <v>-3013773.713</v>
      </c>
    </row>
    <row r="18" spans="1:14" x14ac:dyDescent="0.3">
      <c r="B18" s="13" t="s">
        <v>47</v>
      </c>
      <c r="C18" s="7">
        <v>-3319770</v>
      </c>
      <c r="D18" s="7">
        <v>-3319770</v>
      </c>
    </row>
    <row r="19" spans="1:14" x14ac:dyDescent="0.3">
      <c r="B19" s="10" t="s">
        <v>73</v>
      </c>
      <c r="C19" s="7">
        <v>-3411051.3915999997</v>
      </c>
      <c r="D19" s="7">
        <v>-3539483.2935000001</v>
      </c>
      <c r="F19" t="s">
        <v>80</v>
      </c>
      <c r="G19" s="14">
        <f>-G17/G13</f>
        <v>0.70365097775268093</v>
      </c>
      <c r="H19" s="11">
        <f>G19*100</f>
        <v>70.365097775268097</v>
      </c>
    </row>
    <row r="20" spans="1:14" x14ac:dyDescent="0.3">
      <c r="B20" s="12" t="s">
        <v>71</v>
      </c>
      <c r="C20" s="7">
        <v>-397277.67859999998</v>
      </c>
      <c r="D20" s="7">
        <v>-473566.97499999998</v>
      </c>
    </row>
    <row r="21" spans="1:14" x14ac:dyDescent="0.3">
      <c r="B21" s="13" t="s">
        <v>50</v>
      </c>
      <c r="C21" s="7">
        <v>-397277.67859999998</v>
      </c>
      <c r="D21" s="7">
        <v>-369195.96769999998</v>
      </c>
    </row>
    <row r="22" spans="1:14" x14ac:dyDescent="0.3">
      <c r="B22" s="13" t="s">
        <v>51</v>
      </c>
      <c r="C22" s="7">
        <v>0</v>
      </c>
      <c r="D22" s="7">
        <v>-104371.0073</v>
      </c>
    </row>
    <row r="23" spans="1:14" x14ac:dyDescent="0.3">
      <c r="B23" s="12" t="s">
        <v>70</v>
      </c>
      <c r="C23" s="7">
        <v>-3013773.713</v>
      </c>
      <c r="D23" s="7">
        <v>-3065916.3185000001</v>
      </c>
    </row>
    <row r="24" spans="1:14" x14ac:dyDescent="0.3">
      <c r="B24" s="13" t="s">
        <v>49</v>
      </c>
      <c r="C24" s="7">
        <v>-3013773.713</v>
      </c>
      <c r="D24" s="7">
        <v>-3065916.3185000001</v>
      </c>
    </row>
    <row r="25" spans="1:14" x14ac:dyDescent="0.3">
      <c r="B25" s="10" t="s">
        <v>75</v>
      </c>
      <c r="C25" s="7">
        <v>-5.8207660913467407E-10</v>
      </c>
      <c r="D25" s="7">
        <v>-4.6566128730773926E-10</v>
      </c>
    </row>
    <row r="28" spans="1:14" x14ac:dyDescent="0.3">
      <c r="A28" t="s">
        <v>81</v>
      </c>
      <c r="B28" t="str" vm="17">
        <f>CUBESET("ThisWorkbookDataModel","[Calendar].[Month Name].children","Months")</f>
        <v>Months</v>
      </c>
    </row>
    <row r="29" spans="1:14" x14ac:dyDescent="0.3">
      <c r="A29" t="s">
        <v>82</v>
      </c>
      <c r="B29" vm="18">
        <f>CUBESETCOUNT(B28)</f>
        <v>12</v>
      </c>
    </row>
    <row r="30" spans="1:14" x14ac:dyDescent="0.3">
      <c r="B30" s="15"/>
      <c r="C30" s="15" t="str" cm="1" vm="19">
        <f t="array" ref="C30:N30">CUBERANKEDMEMBER("ThisWorkbookDataModel",B28,_xlfn.SEQUENCE(,B29))</f>
        <v>Jan</v>
      </c>
      <c r="D30" s="15" t="str" vm="20">
        <v>Feb</v>
      </c>
      <c r="E30" s="15" t="str" vm="21">
        <v>Mar</v>
      </c>
      <c r="F30" s="15" t="str" vm="22">
        <v>Apr</v>
      </c>
      <c r="G30" s="15" t="str" vm="23">
        <v>May</v>
      </c>
      <c r="H30" s="15" t="str" vm="24">
        <v>Jun</v>
      </c>
      <c r="I30" s="15" t="str" vm="25">
        <v>Jul</v>
      </c>
      <c r="J30" s="15" t="str" vm="26">
        <v>Aug</v>
      </c>
      <c r="K30" s="15" t="str" vm="27">
        <v>Sep</v>
      </c>
      <c r="L30" s="15" t="str" vm="28">
        <v>Oct</v>
      </c>
      <c r="M30" s="15" t="str" vm="29">
        <v>Nov</v>
      </c>
      <c r="N30" s="15" t="str" vm="30">
        <v>Dec</v>
      </c>
    </row>
    <row r="31" spans="1:14" x14ac:dyDescent="0.3">
      <c r="B31" s="15" t="str" vm="4">
        <f>CUBEMEMBER("ThisWorkbookDataModel","[CoA].[Sub-Category].[Current Assets]")</f>
        <v>Current Assets</v>
      </c>
      <c r="C31" s="15" vm="31">
        <f t="shared" ref="C31:N32" si="0">CUBEVALUE("ThisWorkbookDataModel",$G$5,$B31,C$30)</f>
        <v>4974175.7691000002</v>
      </c>
      <c r="D31" s="15" vm="32">
        <f t="shared" si="0"/>
        <v>5176953.3931999998</v>
      </c>
      <c r="E31" s="15" vm="42">
        <f t="shared" si="0"/>
        <v>5118567.9528000001</v>
      </c>
      <c r="F31" s="15" vm="33">
        <f t="shared" si="0"/>
        <v>5141024.2864999995</v>
      </c>
      <c r="G31" s="15" vm="34">
        <f t="shared" si="0"/>
        <v>5384664.2093000002</v>
      </c>
      <c r="H31" s="15" vm="35">
        <f t="shared" si="0"/>
        <v>5125262.5326000005</v>
      </c>
      <c r="I31" s="15" vm="36">
        <f t="shared" si="0"/>
        <v>5223004.2294999994</v>
      </c>
      <c r="J31" s="15" vm="37">
        <f t="shared" si="0"/>
        <v>5219927.0553000001</v>
      </c>
      <c r="K31" s="15" vm="38">
        <f t="shared" si="0"/>
        <v>5243795.2039000001</v>
      </c>
      <c r="L31" s="15" vm="39">
        <f t="shared" si="0"/>
        <v>5313220.8684999999</v>
      </c>
      <c r="M31" s="15" vm="40">
        <f t="shared" si="0"/>
        <v>5445812.6460999995</v>
      </c>
      <c r="N31" s="15" vm="41">
        <f t="shared" si="0"/>
        <v>5450353.3709000004</v>
      </c>
    </row>
    <row r="32" spans="1:14" x14ac:dyDescent="0.3">
      <c r="B32" s="15" t="str" vm="5">
        <f>CUBEMEMBER("ThisWorkbookDataModel","[CoA].[Sub-Category].[Current Liabilities]")</f>
        <v>Current Liabilities</v>
      </c>
      <c r="C32" s="15" vm="43">
        <f t="shared" si="0"/>
        <v>-382928.92259999999</v>
      </c>
      <c r="D32" s="15" vm="54">
        <f t="shared" si="0"/>
        <v>-472533.62030000001</v>
      </c>
      <c r="E32" s="15" vm="44">
        <f t="shared" si="0"/>
        <v>-486003.7965</v>
      </c>
      <c r="F32" s="15" vm="45">
        <f t="shared" si="0"/>
        <v>-576735.31720000005</v>
      </c>
      <c r="G32" s="15" vm="46">
        <f t="shared" si="0"/>
        <v>-477453.78810000001</v>
      </c>
      <c r="H32" s="15" vm="47">
        <f t="shared" si="0"/>
        <v>-397386.29029999999</v>
      </c>
      <c r="I32" s="15" vm="48">
        <f t="shared" si="0"/>
        <v>-410508.49400000001</v>
      </c>
      <c r="J32" s="15" vm="49">
        <f t="shared" si="0"/>
        <v>-446074.85680000001</v>
      </c>
      <c r="K32" s="15" vm="50">
        <f t="shared" si="0"/>
        <v>-463111.07939999999</v>
      </c>
      <c r="L32" s="15" vm="51">
        <f t="shared" si="0"/>
        <v>-445365.50750000001</v>
      </c>
      <c r="M32" s="15" vm="52">
        <f t="shared" si="0"/>
        <v>-473566.97499999998</v>
      </c>
      <c r="N32" s="15" vm="53">
        <f t="shared" si="0"/>
        <v>-397277.67859999998</v>
      </c>
    </row>
    <row r="33" spans="2:14" x14ac:dyDescent="0.3">
      <c r="B33" s="15" t="s">
        <v>83</v>
      </c>
      <c r="C33" s="16">
        <f>SUM(C31:C32)</f>
        <v>4591246.8465</v>
      </c>
      <c r="D33" s="16">
        <f t="shared" ref="D33:N33" si="1">SUM(D31:D32)</f>
        <v>4704419.7729000002</v>
      </c>
      <c r="E33" s="16">
        <f t="shared" si="1"/>
        <v>4632564.1562999999</v>
      </c>
      <c r="F33" s="16">
        <f t="shared" si="1"/>
        <v>4564288.9692999991</v>
      </c>
      <c r="G33" s="16">
        <f t="shared" si="1"/>
        <v>4907210.4211999997</v>
      </c>
      <c r="H33" s="16">
        <f t="shared" si="1"/>
        <v>4727876.2423</v>
      </c>
      <c r="I33" s="16">
        <f t="shared" si="1"/>
        <v>4812495.7354999995</v>
      </c>
      <c r="J33" s="16">
        <f t="shared" si="1"/>
        <v>4773852.1984999999</v>
      </c>
      <c r="K33" s="16">
        <f t="shared" si="1"/>
        <v>4780684.1244999999</v>
      </c>
      <c r="L33" s="16">
        <f t="shared" si="1"/>
        <v>4867855.3609999996</v>
      </c>
      <c r="M33" s="16">
        <f t="shared" si="1"/>
        <v>4972245.6710999999</v>
      </c>
      <c r="N33" s="16">
        <f t="shared" si="1"/>
        <v>5053075.6923000002</v>
      </c>
    </row>
    <row r="34" spans="2:14" x14ac:dyDescent="0.3">
      <c r="B34" s="26" t="s">
        <v>89</v>
      </c>
      <c r="C34" s="26">
        <v>0</v>
      </c>
      <c r="D34" s="27">
        <f>D33-C33</f>
        <v>113172.92640000023</v>
      </c>
      <c r="E34" s="27">
        <f t="shared" ref="E34:N34" si="2">E33-D33</f>
        <v>-71855.6166000003</v>
      </c>
      <c r="F34" s="27">
        <f t="shared" si="2"/>
        <v>-68275.187000000849</v>
      </c>
      <c r="G34" s="27">
        <f t="shared" si="2"/>
        <v>342921.45190000068</v>
      </c>
      <c r="H34" s="27">
        <f t="shared" si="2"/>
        <v>-179334.17889999971</v>
      </c>
      <c r="I34" s="27">
        <f t="shared" si="2"/>
        <v>84619.493199999444</v>
      </c>
      <c r="J34" s="27">
        <f t="shared" si="2"/>
        <v>-38643.536999999546</v>
      </c>
      <c r="K34" s="27">
        <f t="shared" si="2"/>
        <v>6831.9259999999776</v>
      </c>
      <c r="L34" s="27">
        <f t="shared" si="2"/>
        <v>87171.23649999965</v>
      </c>
      <c r="M34" s="27">
        <f t="shared" si="2"/>
        <v>104390.31010000035</v>
      </c>
      <c r="N34" s="27">
        <f t="shared" si="2"/>
        <v>80830.021200000308</v>
      </c>
    </row>
    <row r="45" spans="2:14" x14ac:dyDescent="0.3">
      <c r="C45" s="1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AC439-35C5-4CC6-A43D-E18FEE07B320}">
  <dimension ref="B5:AB27"/>
  <sheetViews>
    <sheetView showGridLines="0" tabSelected="1" zoomScale="91" zoomScaleNormal="91" workbookViewId="0">
      <selection activeCell="AG26" sqref="AG26"/>
    </sheetView>
  </sheetViews>
  <sheetFormatPr defaultRowHeight="14.4" x14ac:dyDescent="0.3"/>
  <cols>
    <col min="1" max="1" width="8.88671875" style="17"/>
    <col min="2" max="2" width="29" style="17" bestFit="1" customWidth="1"/>
    <col min="3" max="4" width="13.44140625" style="17" bestFit="1" customWidth="1"/>
    <col min="5" max="5" width="12.33203125" style="17" bestFit="1" customWidth="1"/>
    <col min="6" max="6" width="9.6640625" style="17" bestFit="1" customWidth="1"/>
    <col min="7" max="7" width="8.88671875" style="17"/>
    <col min="8" max="25" width="3.33203125" style="17" customWidth="1"/>
    <col min="26" max="26" width="3" style="17" bestFit="1" customWidth="1"/>
    <col min="27" max="27" width="4" style="17" bestFit="1" customWidth="1"/>
    <col min="28" max="16384" width="8.88671875" style="17"/>
  </cols>
  <sheetData>
    <row r="5" spans="2:27" hidden="1" x14ac:dyDescent="0.3">
      <c r="B5" s="17" t="s">
        <v>52</v>
      </c>
      <c r="C5" s="17" t="s" vm="1">
        <v>65</v>
      </c>
    </row>
    <row r="6" spans="2:27" x14ac:dyDescent="0.3">
      <c r="H6" s="24" t="s">
        <v>87</v>
      </c>
      <c r="I6" s="24"/>
      <c r="J6" s="24"/>
      <c r="K6" s="24"/>
      <c r="L6" s="24"/>
      <c r="M6" s="24"/>
      <c r="N6" s="24"/>
      <c r="O6" s="24"/>
      <c r="P6" s="24"/>
      <c r="Q6" s="24"/>
      <c r="R6" s="24"/>
      <c r="S6" s="24"/>
      <c r="T6" s="24"/>
      <c r="U6" s="24"/>
      <c r="V6" s="24"/>
      <c r="W6" s="24"/>
      <c r="X6" s="24"/>
      <c r="Y6" s="24"/>
      <c r="Z6" s="24"/>
      <c r="AA6" s="24"/>
    </row>
    <row r="7" spans="2:27" x14ac:dyDescent="0.3">
      <c r="B7" s="22" t="s">
        <v>86</v>
      </c>
      <c r="C7" s="22" t="s">
        <v>76</v>
      </c>
      <c r="D7" s="22" t="s">
        <v>77</v>
      </c>
      <c r="E7" s="22" t="s">
        <v>84</v>
      </c>
      <c r="F7" s="23" t="s">
        <v>85</v>
      </c>
    </row>
    <row r="8" spans="2:27" x14ac:dyDescent="0.3">
      <c r="B8" s="18" t="s">
        <v>72</v>
      </c>
      <c r="C8" s="19">
        <v>7694103.3708999995</v>
      </c>
      <c r="D8" s="19">
        <v>7735812.6460999995</v>
      </c>
      <c r="E8" s="19">
        <v>-41709.275200000033</v>
      </c>
      <c r="F8" s="19">
        <v>-41709.275200000033</v>
      </c>
      <c r="H8" s="25" cm="1">
        <f t="array" ref="H8:AA12">_xlfn._xlws.SORT(_xlfn.SEQUENCE(5,20),,-1)</f>
        <v>81</v>
      </c>
      <c r="I8" s="25">
        <v>82</v>
      </c>
      <c r="J8" s="25">
        <v>83</v>
      </c>
      <c r="K8" s="25">
        <v>84</v>
      </c>
      <c r="L8" s="25">
        <v>85</v>
      </c>
      <c r="M8" s="25">
        <v>86</v>
      </c>
      <c r="N8" s="25">
        <v>87</v>
      </c>
      <c r="O8" s="25">
        <v>88</v>
      </c>
      <c r="P8" s="25">
        <v>89</v>
      </c>
      <c r="Q8" s="25">
        <v>90</v>
      </c>
      <c r="R8" s="25">
        <v>91</v>
      </c>
      <c r="S8" s="25">
        <v>92</v>
      </c>
      <c r="T8" s="25">
        <v>93</v>
      </c>
      <c r="U8" s="25">
        <v>94</v>
      </c>
      <c r="V8" s="25">
        <v>95</v>
      </c>
      <c r="W8" s="25">
        <v>96</v>
      </c>
      <c r="X8" s="25">
        <v>97</v>
      </c>
      <c r="Y8" s="25">
        <v>98</v>
      </c>
      <c r="Z8" s="25">
        <v>99</v>
      </c>
      <c r="AA8" s="25">
        <v>100</v>
      </c>
    </row>
    <row r="9" spans="2:27" x14ac:dyDescent="0.3">
      <c r="B9" s="20" t="s">
        <v>67</v>
      </c>
      <c r="C9" s="19">
        <v>5450353.3709000004</v>
      </c>
      <c r="D9" s="19">
        <v>5445812.6460999995</v>
      </c>
      <c r="E9" s="19">
        <v>4540.7248000008985</v>
      </c>
      <c r="F9" s="19">
        <v>4540.7248000008985</v>
      </c>
      <c r="H9" s="25">
        <v>61</v>
      </c>
      <c r="I9" s="25">
        <v>62</v>
      </c>
      <c r="J9" s="25">
        <v>63</v>
      </c>
      <c r="K9" s="25">
        <v>64</v>
      </c>
      <c r="L9" s="25">
        <v>65</v>
      </c>
      <c r="M9" s="25">
        <v>66</v>
      </c>
      <c r="N9" s="25">
        <v>67</v>
      </c>
      <c r="O9" s="25">
        <v>68</v>
      </c>
      <c r="P9" s="25">
        <v>69</v>
      </c>
      <c r="Q9" s="25">
        <v>70</v>
      </c>
      <c r="R9" s="25">
        <v>71</v>
      </c>
      <c r="S9" s="25">
        <v>72</v>
      </c>
      <c r="T9" s="25">
        <v>73</v>
      </c>
      <c r="U9" s="25">
        <v>74</v>
      </c>
      <c r="V9" s="25">
        <v>75</v>
      </c>
      <c r="W9" s="25">
        <v>76</v>
      </c>
      <c r="X9" s="25">
        <v>77</v>
      </c>
      <c r="Y9" s="25">
        <v>78</v>
      </c>
      <c r="Z9" s="25">
        <v>79</v>
      </c>
      <c r="AA9" s="25">
        <v>80</v>
      </c>
    </row>
    <row r="10" spans="2:27" x14ac:dyDescent="0.3">
      <c r="B10" s="21" t="s">
        <v>46</v>
      </c>
      <c r="C10" s="19">
        <v>3930799.7995000002</v>
      </c>
      <c r="D10" s="19">
        <v>3993619.0976999998</v>
      </c>
      <c r="E10" s="19">
        <v>-62819.298199999612</v>
      </c>
      <c r="F10" s="19">
        <v>-62819.298199999612</v>
      </c>
      <c r="H10" s="25">
        <v>41</v>
      </c>
      <c r="I10" s="25">
        <v>42</v>
      </c>
      <c r="J10" s="25">
        <v>43</v>
      </c>
      <c r="K10" s="25">
        <v>44</v>
      </c>
      <c r="L10" s="25">
        <v>45</v>
      </c>
      <c r="M10" s="25">
        <v>46</v>
      </c>
      <c r="N10" s="25">
        <v>47</v>
      </c>
      <c r="O10" s="25">
        <v>48</v>
      </c>
      <c r="P10" s="25">
        <v>49</v>
      </c>
      <c r="Q10" s="25">
        <v>50</v>
      </c>
      <c r="R10" s="25">
        <v>51</v>
      </c>
      <c r="S10" s="25">
        <v>52</v>
      </c>
      <c r="T10" s="25">
        <v>53</v>
      </c>
      <c r="U10" s="25">
        <v>54</v>
      </c>
      <c r="V10" s="25">
        <v>55</v>
      </c>
      <c r="W10" s="25">
        <v>56</v>
      </c>
      <c r="X10" s="25">
        <v>57</v>
      </c>
      <c r="Y10" s="25">
        <v>58</v>
      </c>
      <c r="Z10" s="25">
        <v>59</v>
      </c>
      <c r="AA10" s="25">
        <v>60</v>
      </c>
    </row>
    <row r="11" spans="2:27" x14ac:dyDescent="0.3">
      <c r="B11" s="21" t="s">
        <v>44</v>
      </c>
      <c r="C11" s="19">
        <v>523125</v>
      </c>
      <c r="D11" s="19">
        <v>499935.48389999999</v>
      </c>
      <c r="E11" s="19">
        <v>23189.516100000008</v>
      </c>
      <c r="F11" s="19">
        <v>23189.516100000008</v>
      </c>
      <c r="H11" s="25">
        <v>21</v>
      </c>
      <c r="I11" s="25">
        <v>22</v>
      </c>
      <c r="J11" s="25">
        <v>23</v>
      </c>
      <c r="K11" s="25">
        <v>24</v>
      </c>
      <c r="L11" s="25">
        <v>25</v>
      </c>
      <c r="M11" s="25">
        <v>26</v>
      </c>
      <c r="N11" s="25">
        <v>27</v>
      </c>
      <c r="O11" s="25">
        <v>28</v>
      </c>
      <c r="P11" s="25">
        <v>29</v>
      </c>
      <c r="Q11" s="25">
        <v>30</v>
      </c>
      <c r="R11" s="25">
        <v>31</v>
      </c>
      <c r="S11" s="25">
        <v>32</v>
      </c>
      <c r="T11" s="25">
        <v>33</v>
      </c>
      <c r="U11" s="25">
        <v>34</v>
      </c>
      <c r="V11" s="25">
        <v>35</v>
      </c>
      <c r="W11" s="25">
        <v>36</v>
      </c>
      <c r="X11" s="25">
        <v>37</v>
      </c>
      <c r="Y11" s="25">
        <v>38</v>
      </c>
      <c r="Z11" s="25">
        <v>39</v>
      </c>
      <c r="AA11" s="25">
        <v>40</v>
      </c>
    </row>
    <row r="12" spans="2:27" x14ac:dyDescent="0.3">
      <c r="B12" s="21" t="s">
        <v>45</v>
      </c>
      <c r="C12" s="19">
        <v>996428.57140000002</v>
      </c>
      <c r="D12" s="19">
        <v>952258.06449999998</v>
      </c>
      <c r="E12" s="19">
        <v>44170.506900000037</v>
      </c>
      <c r="F12" s="19">
        <v>44170.506900000037</v>
      </c>
      <c r="H12" s="25">
        <v>1</v>
      </c>
      <c r="I12" s="25">
        <v>2</v>
      </c>
      <c r="J12" s="25">
        <v>3</v>
      </c>
      <c r="K12" s="25">
        <v>4</v>
      </c>
      <c r="L12" s="25">
        <v>5</v>
      </c>
      <c r="M12" s="25">
        <v>6</v>
      </c>
      <c r="N12" s="25">
        <v>7</v>
      </c>
      <c r="O12" s="25">
        <v>8</v>
      </c>
      <c r="P12" s="25">
        <v>9</v>
      </c>
      <c r="Q12" s="25">
        <v>10</v>
      </c>
      <c r="R12" s="25">
        <v>11</v>
      </c>
      <c r="S12" s="25">
        <v>12</v>
      </c>
      <c r="T12" s="25">
        <v>13</v>
      </c>
      <c r="U12" s="25">
        <v>14</v>
      </c>
      <c r="V12" s="25">
        <v>15</v>
      </c>
      <c r="W12" s="25">
        <v>16</v>
      </c>
      <c r="X12" s="25">
        <v>17</v>
      </c>
      <c r="Y12" s="25">
        <v>18</v>
      </c>
      <c r="Z12" s="25">
        <v>19</v>
      </c>
      <c r="AA12" s="25">
        <v>20</v>
      </c>
    </row>
    <row r="13" spans="2:27" x14ac:dyDescent="0.3">
      <c r="B13" s="20" t="s">
        <v>66</v>
      </c>
      <c r="C13" s="19">
        <v>2243750</v>
      </c>
      <c r="D13" s="19">
        <v>2290000</v>
      </c>
      <c r="E13" s="19">
        <v>-46250</v>
      </c>
      <c r="F13" s="19">
        <v>-46250</v>
      </c>
    </row>
    <row r="14" spans="2:27" x14ac:dyDescent="0.3">
      <c r="B14" s="21" t="s">
        <v>43</v>
      </c>
      <c r="C14" s="19">
        <v>-981250</v>
      </c>
      <c r="D14" s="19">
        <v>-935000</v>
      </c>
      <c r="E14" s="19">
        <v>-46250</v>
      </c>
      <c r="F14" s="19">
        <v>-46250</v>
      </c>
      <c r="H14" s="24" t="s">
        <v>83</v>
      </c>
      <c r="I14" s="24"/>
      <c r="J14" s="24"/>
      <c r="K14" s="24"/>
      <c r="L14" s="24"/>
      <c r="M14" s="24"/>
      <c r="N14" s="24"/>
      <c r="O14" s="24"/>
      <c r="P14" s="24"/>
      <c r="Q14" s="24"/>
      <c r="R14" s="24"/>
      <c r="S14" s="24"/>
      <c r="T14" s="24"/>
      <c r="U14" s="24"/>
      <c r="V14" s="24"/>
      <c r="W14" s="24"/>
      <c r="X14" s="24"/>
      <c r="Y14" s="24"/>
      <c r="Z14" s="24"/>
      <c r="AA14" s="24"/>
    </row>
    <row r="15" spans="2:27" x14ac:dyDescent="0.3">
      <c r="B15" s="21" t="s">
        <v>42</v>
      </c>
      <c r="C15" s="19">
        <v>3225000</v>
      </c>
      <c r="D15" s="19">
        <v>3225000</v>
      </c>
      <c r="E15" s="19">
        <v>0</v>
      </c>
      <c r="F15" s="19">
        <v>0</v>
      </c>
    </row>
    <row r="16" spans="2:27" x14ac:dyDescent="0.3">
      <c r="B16" s="18" t="s">
        <v>68</v>
      </c>
      <c r="C16" s="19">
        <v>-4283051.9792999998</v>
      </c>
      <c r="D16" s="19">
        <v>-4196329.3525999999</v>
      </c>
      <c r="E16" s="19">
        <v>86722.626699999906</v>
      </c>
      <c r="F16" s="19">
        <v>86722.626699999906</v>
      </c>
    </row>
    <row r="17" spans="2:28" x14ac:dyDescent="0.3">
      <c r="B17" s="20" t="s">
        <v>48</v>
      </c>
      <c r="C17" s="19">
        <v>-963281.97930000012</v>
      </c>
      <c r="D17" s="19">
        <v>-876559.3526000001</v>
      </c>
      <c r="E17" s="19">
        <v>86722.626700000023</v>
      </c>
      <c r="F17" s="19">
        <v>86722.626700000023</v>
      </c>
    </row>
    <row r="18" spans="2:28" x14ac:dyDescent="0.3">
      <c r="B18" s="21" t="s">
        <v>48</v>
      </c>
      <c r="C18" s="19">
        <v>-963281.97930000012</v>
      </c>
      <c r="D18" s="19">
        <v>-876559.3526000001</v>
      </c>
      <c r="E18" s="19">
        <v>86722.626700000023</v>
      </c>
      <c r="F18" s="19">
        <v>86722.626700000023</v>
      </c>
    </row>
    <row r="19" spans="2:28" x14ac:dyDescent="0.3">
      <c r="B19" s="20" t="s">
        <v>69</v>
      </c>
      <c r="C19" s="19">
        <v>-3319770</v>
      </c>
      <c r="D19" s="19">
        <v>-3319770</v>
      </c>
      <c r="E19" s="19">
        <v>0</v>
      </c>
      <c r="F19" s="19">
        <v>0</v>
      </c>
    </row>
    <row r="20" spans="2:28" x14ac:dyDescent="0.3">
      <c r="B20" s="21" t="s">
        <v>47</v>
      </c>
      <c r="C20" s="19">
        <v>-3319770</v>
      </c>
      <c r="D20" s="19">
        <v>-3319770</v>
      </c>
      <c r="E20" s="19">
        <v>0</v>
      </c>
      <c r="F20" s="19">
        <v>0</v>
      </c>
    </row>
    <row r="21" spans="2:28" x14ac:dyDescent="0.3">
      <c r="B21" s="18" t="s">
        <v>73</v>
      </c>
      <c r="C21" s="19">
        <v>-3411051.3915999997</v>
      </c>
      <c r="D21" s="19">
        <v>-3539483.2935000001</v>
      </c>
      <c r="E21" s="19">
        <v>-128431.9019000004</v>
      </c>
      <c r="F21" s="19">
        <v>-128431.9019000004</v>
      </c>
    </row>
    <row r="22" spans="2:28" x14ac:dyDescent="0.3">
      <c r="B22" s="20" t="s">
        <v>71</v>
      </c>
      <c r="C22" s="19">
        <v>-397277.67859999998</v>
      </c>
      <c r="D22" s="19">
        <v>-473566.97499999998</v>
      </c>
      <c r="E22" s="19">
        <v>-76289.296399999992</v>
      </c>
      <c r="F22" s="19">
        <v>-76289.296399999992</v>
      </c>
      <c r="H22" s="24" t="s">
        <v>88</v>
      </c>
      <c r="I22" s="24"/>
      <c r="J22" s="24"/>
      <c r="K22" s="24"/>
      <c r="L22" s="24"/>
      <c r="M22" s="24"/>
      <c r="N22" s="24"/>
      <c r="O22" s="24"/>
      <c r="P22" s="24"/>
      <c r="Q22" s="24"/>
      <c r="R22" s="24"/>
      <c r="S22" s="24"/>
      <c r="T22" s="24"/>
      <c r="U22" s="24"/>
      <c r="V22" s="24"/>
      <c r="W22" s="24"/>
      <c r="X22" s="24"/>
      <c r="Y22" s="24"/>
      <c r="Z22" s="24"/>
      <c r="AA22" s="24"/>
      <c r="AB22" s="24"/>
    </row>
    <row r="23" spans="2:28" x14ac:dyDescent="0.3">
      <c r="B23" s="21" t="s">
        <v>50</v>
      </c>
      <c r="C23" s="19">
        <v>-397277.67859999998</v>
      </c>
      <c r="D23" s="19">
        <v>-369195.96769999998</v>
      </c>
      <c r="E23" s="19">
        <v>28081.710900000005</v>
      </c>
      <c r="F23" s="19">
        <v>28081.710900000005</v>
      </c>
    </row>
    <row r="24" spans="2:28" x14ac:dyDescent="0.3">
      <c r="B24" s="21" t="s">
        <v>51</v>
      </c>
      <c r="C24" s="19">
        <v>0</v>
      </c>
      <c r="D24" s="19">
        <v>-104371.0073</v>
      </c>
      <c r="E24" s="19">
        <v>-104371.0073</v>
      </c>
      <c r="F24" s="19">
        <v>-104371.0073</v>
      </c>
    </row>
    <row r="25" spans="2:28" x14ac:dyDescent="0.3">
      <c r="B25" s="20" t="s">
        <v>70</v>
      </c>
      <c r="C25" s="19">
        <v>-3013773.713</v>
      </c>
      <c r="D25" s="19">
        <v>-3065916.3185000001</v>
      </c>
      <c r="E25" s="19">
        <v>-52142.605500000063</v>
      </c>
      <c r="F25" s="19">
        <v>-52142.605500000063</v>
      </c>
    </row>
    <row r="26" spans="2:28" x14ac:dyDescent="0.3">
      <c r="B26" s="21" t="s">
        <v>49</v>
      </c>
      <c r="C26" s="19">
        <v>-3013773.713</v>
      </c>
      <c r="D26" s="19">
        <v>-3065916.3185000001</v>
      </c>
      <c r="E26" s="19">
        <v>-52142.605500000063</v>
      </c>
      <c r="F26" s="19">
        <v>-52142.605500000063</v>
      </c>
    </row>
    <row r="27" spans="2:28" x14ac:dyDescent="0.3">
      <c r="B27" s="18" t="s">
        <v>75</v>
      </c>
      <c r="C27" s="19">
        <v>-5.8207660913467407E-10</v>
      </c>
      <c r="D27" s="19">
        <v>-4.6566128730773926E-10</v>
      </c>
      <c r="E27" s="19"/>
      <c r="F27" s="19"/>
    </row>
  </sheetData>
  <conditionalFormatting pivot="1" sqref="F8 F9 F10:F12 F13 F14:F15 F16 F17 F18 F19 F20 F21 F22 F23:F24 F25 F26">
    <cfRule type="dataBar" priority="2">
      <dataBar showValue="0">
        <cfvo type="min"/>
        <cfvo type="max"/>
        <color rgb="FF00B050"/>
      </dataBar>
      <extLst>
        <ext xmlns:x14="http://schemas.microsoft.com/office/spreadsheetml/2009/9/main" uri="{B025F937-C7B1-47D3-B67F-A62EFF666E3E}">
          <x14:id>{18C4C185-27E1-4D9D-96D9-7B1F6CA53821}</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18C4C185-27E1-4D9D-96D9-7B1F6CA53821}">
            <x14:dataBar minLength="0" maxLength="100" gradient="0">
              <x14:cfvo type="autoMin"/>
              <x14:cfvo type="autoMax"/>
              <x14:negativeFillColor rgb="FFFF3300"/>
              <x14:axisColor rgb="FF000000"/>
            </x14:dataBar>
          </x14:cfRule>
          <xm:sqref>F8 F9 F10:F12 F13 F14:F15 F16 F17 F18 F19 F20 F21 F22 F23:F24 F25 F26</xm:sqref>
        </x14:conditionalFormatting>
        <x14:conditionalFormatting xmlns:xm="http://schemas.microsoft.com/office/excel/2006/main">
          <x14:cfRule type="cellIs" priority="3" operator="between" id="{7E0A2032-254C-4308-B0CD-F9EE284B4145}">
            <xm:f>0</xm:f>
            <xm:f>Calculations!$H$19</xm:f>
            <x14:dxf>
              <fill>
                <patternFill>
                  <bgColor theme="0" tint="-0.14996795556505021"/>
                </patternFill>
              </fill>
            </x14:dxf>
          </x14:cfRule>
          <xm:sqref>H8:AA12</xm:sqref>
        </x14:conditionalFormatting>
      </x14:conditionalFormattings>
    </ex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775C6711-52C3-4FE5-B39F-9BB7309A41C8}">
  <ds:schemaRefs/>
</ds:datastoreItem>
</file>

<file path=customXml/itemProps2.xml><?xml version="1.0" encoding="utf-8"?>
<ds:datastoreItem xmlns:ds="http://schemas.openxmlformats.org/officeDocument/2006/customXml" ds:itemID="{40119D04-BE05-48AF-B907-11EA94C3BAE1}">
  <ds:schemaRefs/>
</ds:datastoreItem>
</file>

<file path=customXml/itemProps3.xml><?xml version="1.0" encoding="utf-8"?>
<ds:datastoreItem xmlns:ds="http://schemas.openxmlformats.org/officeDocument/2006/customXml" ds:itemID="{89F501A0-B146-422E-94B6-57F15E242989}">
  <ds:schemaRefs/>
</ds:datastoreItem>
</file>

<file path=customXml/itemProps4.xml><?xml version="1.0" encoding="utf-8"?>
<ds:datastoreItem xmlns:ds="http://schemas.openxmlformats.org/officeDocument/2006/customXml" ds:itemID="{6FA14649-D01D-476E-A2E1-A8B9EA45F532}">
  <ds:schemaRefs/>
</ds:datastoreItem>
</file>

<file path=customXml/itemProps5.xml><?xml version="1.0" encoding="utf-8"?>
<ds:datastoreItem xmlns:ds="http://schemas.openxmlformats.org/officeDocument/2006/customXml" ds:itemID="{161D26C3-5E24-4897-9914-D095590B1E33}">
  <ds:schemaRefs/>
</ds:datastoreItem>
</file>

<file path=customXml/itemProps6.xml><?xml version="1.0" encoding="utf-8"?>
<ds:datastoreItem xmlns:ds="http://schemas.openxmlformats.org/officeDocument/2006/customXml" ds:itemID="{8D0DE275-04D2-413A-B837-0B13C292070E}">
  <ds:schemaRefs/>
</ds:datastoreItem>
</file>

<file path=customXml/itemProps7.xml><?xml version="1.0" encoding="utf-8"?>
<ds:datastoreItem xmlns:ds="http://schemas.openxmlformats.org/officeDocument/2006/customXml" ds:itemID="{357B24BD-CAAC-45A2-9096-37FE77345818}">
  <ds:schemaRefs/>
</ds:datastoreItem>
</file>

<file path=customXml/itemProps8.xml><?xml version="1.0" encoding="utf-8"?>
<ds:datastoreItem xmlns:ds="http://schemas.openxmlformats.org/officeDocument/2006/customXml" ds:itemID="{286D35F3-547D-42A3-8AA6-E66FF3DA7D24}">
  <ds:schemaRefs/>
</ds:datastoreItem>
</file>

<file path=customXml/itemProps9.xml><?xml version="1.0" encoding="utf-8"?>
<ds:datastoreItem xmlns:ds="http://schemas.openxmlformats.org/officeDocument/2006/customXml" ds:itemID="{E3D2BBA5-F927-4AC3-AFA2-F7C6D12579FA}">
  <ds:schemaRefs/>
</ds:datastoreItem>
</file>

<file path=customXml/itemProps10.xml><?xml version="1.0" encoding="utf-8"?>
<ds:datastoreItem xmlns:ds="http://schemas.openxmlformats.org/officeDocument/2006/customXml" ds:itemID="{0660912E-75E0-4E53-9F4B-AD8197F90BBC}">
  <ds:schemaRefs/>
</ds:datastoreItem>
</file>

<file path=customXml/itemProps11.xml><?xml version="1.0" encoding="utf-8"?>
<ds:datastoreItem xmlns:ds="http://schemas.openxmlformats.org/officeDocument/2006/customXml" ds:itemID="{0FC67AF3-BC4E-434C-969A-6A48704E190C}">
  <ds:schemaRefs/>
</ds:datastoreItem>
</file>

<file path=customXml/itemProps12.xml><?xml version="1.0" encoding="utf-8"?>
<ds:datastoreItem xmlns:ds="http://schemas.openxmlformats.org/officeDocument/2006/customXml" ds:itemID="{18A4C360-0951-4030-973D-DB79F87E7466}">
  <ds:schemaRefs/>
</ds:datastoreItem>
</file>

<file path=customXml/itemProps13.xml><?xml version="1.0" encoding="utf-8"?>
<ds:datastoreItem xmlns:ds="http://schemas.openxmlformats.org/officeDocument/2006/customXml" ds:itemID="{B941DF4E-F263-4DE9-B639-2F32747DDEA5}">
  <ds:schemaRefs/>
</ds:datastoreItem>
</file>

<file path=customXml/itemProps14.xml><?xml version="1.0" encoding="utf-8"?>
<ds:datastoreItem xmlns:ds="http://schemas.openxmlformats.org/officeDocument/2006/customXml" ds:itemID="{C6FADEDB-5886-4CEB-84BC-4D4CEBD25659}">
  <ds:schemaRefs>
    <ds:schemaRef ds:uri="http://schemas.microsoft.com/DataMashup"/>
  </ds:schemaRefs>
</ds:datastoreItem>
</file>

<file path=customXml/itemProps15.xml><?xml version="1.0" encoding="utf-8"?>
<ds:datastoreItem xmlns:ds="http://schemas.openxmlformats.org/officeDocument/2006/customXml" ds:itemID="{57E241C4-E5EA-41AD-A532-5E4F8B0E7804}">
  <ds:schemaRefs/>
</ds:datastoreItem>
</file>

<file path=customXml/itemProps16.xml><?xml version="1.0" encoding="utf-8"?>
<ds:datastoreItem xmlns:ds="http://schemas.openxmlformats.org/officeDocument/2006/customXml" ds:itemID="{0F81C2C5-053E-4B33-A38A-3F17E707F53C}">
  <ds:schemaRefs/>
</ds:datastoreItem>
</file>

<file path=customXml/itemProps17.xml><?xml version="1.0" encoding="utf-8"?>
<ds:datastoreItem xmlns:ds="http://schemas.openxmlformats.org/officeDocument/2006/customXml" ds:itemID="{F2CE2A57-5987-4AF4-90B7-BE2770743F62}">
  <ds:schemaRefs/>
</ds:datastoreItem>
</file>

<file path=customXml/itemProps18.xml><?xml version="1.0" encoding="utf-8"?>
<ds:datastoreItem xmlns:ds="http://schemas.openxmlformats.org/officeDocument/2006/customXml" ds:itemID="{1310FEFA-9C35-40F4-AD83-8532256C4CAF}">
  <ds:schemaRefs/>
</ds:datastoreItem>
</file>

<file path=customXml/itemProps19.xml><?xml version="1.0" encoding="utf-8"?>
<ds:datastoreItem xmlns:ds="http://schemas.openxmlformats.org/officeDocument/2006/customXml" ds:itemID="{7C6E3FDD-8623-4F84-85DC-3ECB059A661A}">
  <ds:schemaRefs/>
</ds:datastoreItem>
</file>

<file path=customXml/itemProps20.xml><?xml version="1.0" encoding="utf-8"?>
<ds:datastoreItem xmlns:ds="http://schemas.openxmlformats.org/officeDocument/2006/customXml" ds:itemID="{C0DFA08B-2B71-4D73-9219-8E38E81121DF}">
  <ds:schemaRefs/>
</ds:datastoreItem>
</file>

<file path=customXml/itemProps21.xml><?xml version="1.0" encoding="utf-8"?>
<ds:datastoreItem xmlns:ds="http://schemas.openxmlformats.org/officeDocument/2006/customXml" ds:itemID="{F333C5B1-571F-4516-B156-E89346D99420}">
  <ds:schemaRefs/>
</ds:datastoreItem>
</file>

<file path=customXml/itemProps22.xml><?xml version="1.0" encoding="utf-8"?>
<ds:datastoreItem xmlns:ds="http://schemas.openxmlformats.org/officeDocument/2006/customXml" ds:itemID="{A7B75D3C-1564-42B7-B910-25B6EF57B13E}">
  <ds:schemaRefs/>
</ds:datastoreItem>
</file>

<file path=customXml/itemProps23.xml><?xml version="1.0" encoding="utf-8"?>
<ds:datastoreItem xmlns:ds="http://schemas.openxmlformats.org/officeDocument/2006/customXml" ds:itemID="{C7C03F1F-B967-4B92-B8B4-C4AF02C8C77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Trial Balance</vt:lpstr>
      <vt:lpstr>COA</vt:lpstr>
      <vt:lpstr>Calculations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Bernard Obeng Boateng</dc:creator>
  <cp:lastModifiedBy>Akshay Pavanan</cp:lastModifiedBy>
  <dcterms:created xsi:type="dcterms:W3CDTF">2023-11-26T04:57:15Z</dcterms:created>
  <dcterms:modified xsi:type="dcterms:W3CDTF">2025-12-10T22:42:27Z</dcterms:modified>
</cp:coreProperties>
</file>